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0f253713544815" /></Relationships>
</file>

<file path=xl/workbook.xml><?xml version="1.0" encoding="utf-8"?>
<workbook xmlns="http://schemas.openxmlformats.org/spreadsheetml/2006/main">
  <sheets>
    <sheet xmlns:r="http://schemas.openxmlformats.org/officeDocument/2006/relationships" name="经营数据" sheetId="1" r:id="Rf34525bc7fd248e6"/>
    <sheet xmlns:r="http://schemas.openxmlformats.org/officeDocument/2006/relationships" name="核验明细" sheetId="2" r:id="Re8a23c52fc244d33"/>
    <sheet xmlns:r="http://schemas.openxmlformats.org/officeDocument/2006/relationships" name="合并抵销" sheetId="3" r:id="R18032bab3b8a49c1"/>
  </sheets>
  <calcPr calcMode="auto" fullCalcOnLoad="1" forceFullCalc="1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3">
    <numFmt numFmtId="200" formatCode="0.00&quot;%&quot;"/>
    <numFmt numFmtId="201" formatCode="#,##0.00;[Red](#,##0.00);&quot;–&quot;"/>
    <numFmt numFmtId="202" formatCode="0.00%;[Red](0.00%);&quot;–&quot;"/>
  </numFmts>
  <fonts count="3">
    <font>
      <sz val="11"/>
      <name val="Carlito"/>
    </font>
    <font>
      <sz val="10"/>
      <name val="Microsoft YaHei"/>
    </font>
    <font>
      <b/>
      <sz val="10"/>
      <color rgb="FFFFFFFF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193B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00" fontId="0" fillId="0" borderId="0" xfId="0" applyNumberFormat="1" applyFont="1" applyFill="1" applyBorder="1"/>
    <xf numFmtId="0" fontId="1" fillId="0" borderId="0" xfId="0" applyNumberFormat="1" applyFont="1" applyFill="1" applyBorder="1"/>
    <xf numFmtId="200" fontId="1" fillId="0" borderId="0" xfId="0" applyNumberFormat="1" applyFont="1" applyFill="1" applyBorder="1"/>
    <xf numFmtId="0" fontId="1" fillId="2" borderId="0" xfId="0" applyNumberFormat="1" applyFont="1" applyFill="1" applyBorder="1"/>
    <xf numFmtId="0" fontId="2" fillId="2" borderId="0" xfId="0" applyNumberFormat="1" applyFont="1" applyFill="1" applyBorder="1"/>
    <xf numFmtId="0" fontId="2" fillId="2" borderId="0" xfId="0" applyNumberFormat="1" applyFont="1" applyFill="1" applyBorder="1" applyAlignment="1">
      <alignment wrapText="1"/>
    </xf>
    <xf numFmtId="201" fontId="1" fillId="0" borderId="0" xfId="0" applyNumberFormat="1" applyFont="1" applyFill="1" applyBorder="1"/>
    <xf numFmtId="202" fontId="1" fillId="0" borderId="0" xfId="0" applyNumberFormat="1" applyFont="1" applyFill="1" applyBorder="1"/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92f3d5ef464151" /><Relationship Type="http://schemas.openxmlformats.org/officeDocument/2006/relationships/theme" Target="/xl/theme/theme1.xml" Id="R9af12a3b9fc1423a" /><Relationship Type="http://schemas.openxmlformats.org/officeDocument/2006/relationships/sharedStrings" Target="/xl/sharedStrings.xml" Id="R2507b2f9ec8448db" /><Relationship Type="http://schemas.openxmlformats.org/officeDocument/2006/relationships/worksheet" Target="/xl/worksheets/sheet1.xml" Id="Rf34525bc7fd248e6" /><Relationship Type="http://schemas.openxmlformats.org/officeDocument/2006/relationships/worksheet" Target="/xl/worksheets/sheet2.xml" Id="Re8a23c52fc244d33" /><Relationship Type="http://schemas.openxmlformats.org/officeDocument/2006/relationships/worksheet" Target="/xl/worksheets/sheet3.xml" Id="R18032bab3b8a49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23" hidden="0" customWidth="1"/>
    <col min="2" max="2" width="12" hidden="0" customWidth="1"/>
    <col min="3" max="3" width="28" hidden="0" customWidth="1"/>
    <col min="4" max="4" width="10" hidden="0" customWidth="1"/>
    <col min="5" max="5" width="18" hidden="0" customWidth="1"/>
    <col min="6" max="6" width="18" hidden="0" customWidth="1"/>
    <col min="7" max="7" width="18" hidden="0" customWidth="1"/>
    <col min="8" max="8" width="18" hidden="0" customWidth="1"/>
    <col min="9" max="9" width="18" hidden="0" customWidth="1"/>
  </cols>
  <sheetData>
    <row r="1" ht="42" customHeight="1">
      <c r="A1" s="6" t="str">
        <v>公司主体</v>
      </c>
      <c r="B1" s="6" t="str">
        <v>期数</v>
      </c>
      <c r="C1" s="6" t="str">
        <v>指标</v>
      </c>
      <c r="D1" s="6" t="str">
        <v>单位</v>
      </c>
      <c r="E1" s="6" t="str">
        <v>本年累计</v>
      </c>
      <c r="F1" s="6" t="str">
        <v>去年同期累计</v>
      </c>
      <c r="G1" s="6" t="str">
        <v>同比增长率</v>
      </c>
      <c r="H1" s="6" t="str">
        <v>本月累计</v>
      </c>
      <c r="I1" s="6" t="str">
        <v>环比增长率</v>
      </c>
    </row>
    <row r="2" ht="23" customHeight="1">
      <c r="A2" s="2" t="str">
        <v>集团公司（合并）</v>
      </c>
      <c r="B2" s="2" t="str">
        <v>2025-01</v>
      </c>
      <c r="C2" s="2" t="str">
        <v>营业总收入</v>
      </c>
      <c r="D2" s="2" t="str">
        <v>万元</v>
      </c>
      <c r="E2" s="7" t="n">
        <v>3345.74</v>
      </c>
      <c r="F2" s="7"/>
      <c r="G2" s="8"/>
      <c r="H2" s="7" t="n">
        <v>3345.74</v>
      </c>
      <c r="I2" s="8"/>
    </row>
    <row r="3" ht="23" customHeight="1">
      <c r="A3" s="2" t="str">
        <v>集团公司（合并）</v>
      </c>
      <c r="B3" s="2" t="str">
        <v>2025-01</v>
      </c>
      <c r="C3" s="2" t="str">
        <v>利润总额</v>
      </c>
      <c r="D3" s="2" t="str">
        <v>万元</v>
      </c>
      <c r="E3" s="7" t="n">
        <v>420.02</v>
      </c>
      <c r="F3" s="7"/>
      <c r="G3" s="8"/>
      <c r="H3" s="7" t="n">
        <v>420.02</v>
      </c>
      <c r="I3" s="8"/>
    </row>
    <row r="4" ht="23" customHeight="1">
      <c r="A4" s="2" t="str">
        <v>集团公司（合并）</v>
      </c>
      <c r="B4" s="2" t="str">
        <v>2025-01</v>
      </c>
      <c r="C4" s="2" t="str">
        <v>经营性现金流量净额</v>
      </c>
      <c r="D4" s="2" t="str">
        <v>万元</v>
      </c>
      <c r="E4" s="7" t="n">
        <v>-133.61</v>
      </c>
      <c r="F4" s="7"/>
      <c r="G4" s="8"/>
      <c r="H4" s="7" t="n">
        <v>-133.61</v>
      </c>
      <c r="I4" s="8"/>
    </row>
    <row r="5" ht="23" customHeight="1">
      <c r="A5" s="2" t="str">
        <v>集团公司（合并）</v>
      </c>
      <c r="B5" s="2" t="str">
        <v>2025-01</v>
      </c>
      <c r="C5" s="2" t="str">
        <v>资产负债率</v>
      </c>
      <c r="D5" s="2" t="str">
        <v>%</v>
      </c>
      <c r="E5" s="3" t="n">
        <v>59.12</v>
      </c>
      <c r="F5" s="3"/>
      <c r="G5" s="8"/>
      <c r="H5" s="3" t="n">
        <v>59.12</v>
      </c>
      <c r="I5" s="8"/>
    </row>
    <row r="6" ht="23" customHeight="1">
      <c r="A6" s="2" t="str">
        <v>集团公司（合并）</v>
      </c>
      <c r="B6" s="2" t="str">
        <v>2025-01</v>
      </c>
      <c r="C6" s="2" t="str">
        <v>净资产收益率</v>
      </c>
      <c r="D6" s="2" t="str">
        <v>%</v>
      </c>
      <c r="E6" s="3" t="n">
        <v>1.5</v>
      </c>
      <c r="F6" s="3"/>
      <c r="G6" s="8"/>
      <c r="H6" s="3" t="n">
        <v>1.5</v>
      </c>
      <c r="I6" s="8"/>
    </row>
    <row r="7" ht="23" customHeight="1">
      <c r="A7" s="2" t="str">
        <v>集团公司（合并）</v>
      </c>
      <c r="B7" s="2" t="str">
        <v>2025-01</v>
      </c>
      <c r="C7" s="2" t="str">
        <v>新签收入合同金额</v>
      </c>
      <c r="D7" s="2" t="str">
        <v>万元</v>
      </c>
      <c r="E7" s="7" t="n">
        <v>3949.34</v>
      </c>
      <c r="F7" s="7"/>
      <c r="G7" s="8"/>
      <c r="H7" s="7" t="n">
        <v>3949.34</v>
      </c>
      <c r="I7" s="8"/>
    </row>
    <row r="8" ht="23" customHeight="1">
      <c r="A8" s="2" t="str">
        <v>集团公司（本部）</v>
      </c>
      <c r="B8" s="2" t="str">
        <v>2025-01</v>
      </c>
      <c r="C8" s="2" t="str">
        <v>营业总收入</v>
      </c>
      <c r="D8" s="2" t="str">
        <v>万元</v>
      </c>
      <c r="E8" s="7" t="n">
        <v>1458</v>
      </c>
      <c r="F8" s="7"/>
      <c r="G8" s="8"/>
      <c r="H8" s="7" t="n">
        <v>1458</v>
      </c>
      <c r="I8" s="8"/>
    </row>
    <row r="9" ht="23" customHeight="1">
      <c r="A9" s="2" t="str">
        <v>集团公司（本部）</v>
      </c>
      <c r="B9" s="2" t="str">
        <v>2025-01</v>
      </c>
      <c r="C9" s="2" t="str">
        <v>利润总额</v>
      </c>
      <c r="D9" s="2" t="str">
        <v>万元</v>
      </c>
      <c r="E9" s="7" t="n">
        <v>153.09</v>
      </c>
      <c r="F9" s="7"/>
      <c r="G9" s="8"/>
      <c r="H9" s="7" t="n">
        <v>153.09</v>
      </c>
      <c r="I9" s="8"/>
    </row>
    <row r="10" ht="23" customHeight="1">
      <c r="A10" s="2" t="str">
        <v>集团公司（本部）</v>
      </c>
      <c r="B10" s="2" t="str">
        <v>2025-01</v>
      </c>
      <c r="C10" s="2" t="str">
        <v>经营性现金流量净额</v>
      </c>
      <c r="D10" s="2" t="str">
        <v>万元</v>
      </c>
      <c r="E10" s="7" t="n">
        <v>-80.92</v>
      </c>
      <c r="F10" s="7"/>
      <c r="G10" s="8"/>
      <c r="H10" s="7" t="n">
        <v>-80.92</v>
      </c>
      <c r="I10" s="8"/>
    </row>
    <row r="11" ht="23" customHeight="1">
      <c r="A11" s="2" t="str">
        <v>集团公司（本部）</v>
      </c>
      <c r="B11" s="2" t="str">
        <v>2025-01</v>
      </c>
      <c r="C11" s="2" t="str">
        <v>资产负债率</v>
      </c>
      <c r="D11" s="2" t="str">
        <v>%</v>
      </c>
      <c r="E11" s="3" t="n">
        <v>57.77</v>
      </c>
      <c r="F11" s="3"/>
      <c r="G11" s="8"/>
      <c r="H11" s="3" t="n">
        <v>57.77</v>
      </c>
      <c r="I11" s="8"/>
    </row>
    <row r="12" ht="23" customHeight="1">
      <c r="A12" s="2" t="str">
        <v>集团公司（本部）</v>
      </c>
      <c r="B12" s="2" t="str">
        <v>2025-01</v>
      </c>
      <c r="C12" s="2" t="str">
        <v>净资产收益率</v>
      </c>
      <c r="D12" s="2" t="str">
        <v>%</v>
      </c>
      <c r="E12" s="3" t="n">
        <v>1.09</v>
      </c>
      <c r="F12" s="3"/>
      <c r="G12" s="8"/>
      <c r="H12" s="3" t="n">
        <v>1.09</v>
      </c>
      <c r="I12" s="8"/>
    </row>
    <row r="13" ht="23" customHeight="1">
      <c r="A13" s="2" t="str">
        <v>集团公司（本部）</v>
      </c>
      <c r="B13" s="2" t="str">
        <v>2025-01</v>
      </c>
      <c r="C13" s="2" t="str">
        <v>新签收入合同金额</v>
      </c>
      <c r="D13" s="2" t="str">
        <v>万元</v>
      </c>
      <c r="E13" s="7" t="n">
        <v>1571.72</v>
      </c>
      <c r="F13" s="7"/>
      <c r="G13" s="8"/>
      <c r="H13" s="7" t="n">
        <v>1571.72</v>
      </c>
      <c r="I13" s="8"/>
    </row>
    <row r="14" ht="23" customHeight="1">
      <c r="A14" s="2" t="str">
        <v>子公司A</v>
      </c>
      <c r="B14" s="2" t="str">
        <v>2025-01</v>
      </c>
      <c r="C14" s="2" t="str">
        <v>营业总收入</v>
      </c>
      <c r="D14" s="2" t="str">
        <v>万元</v>
      </c>
      <c r="E14" s="7" t="n">
        <v>869.57</v>
      </c>
      <c r="F14" s="7"/>
      <c r="G14" s="8"/>
      <c r="H14" s="7" t="n">
        <v>869.57</v>
      </c>
      <c r="I14" s="8"/>
    </row>
    <row r="15" ht="23" customHeight="1">
      <c r="A15" s="2" t="str">
        <v>子公司A</v>
      </c>
      <c r="B15" s="2" t="str">
        <v>2025-01</v>
      </c>
      <c r="C15" s="2" t="str">
        <v>利润总额</v>
      </c>
      <c r="D15" s="2" t="str">
        <v>万元</v>
      </c>
      <c r="E15" s="7" t="n">
        <v>112.26</v>
      </c>
      <c r="F15" s="7"/>
      <c r="G15" s="8"/>
      <c r="H15" s="7" t="n">
        <v>112.26</v>
      </c>
      <c r="I15" s="8"/>
    </row>
    <row r="16" ht="23" customHeight="1">
      <c r="A16" s="2" t="str">
        <v>子公司A</v>
      </c>
      <c r="B16" s="2" t="str">
        <v>2025-01</v>
      </c>
      <c r="C16" s="2" t="str">
        <v>经营性现金流量净额</v>
      </c>
      <c r="D16" s="2" t="str">
        <v>万元</v>
      </c>
      <c r="E16" s="7" t="n">
        <v>-29.4</v>
      </c>
      <c r="F16" s="7"/>
      <c r="G16" s="8"/>
      <c r="H16" s="7" t="n">
        <v>-29.4</v>
      </c>
      <c r="I16" s="8"/>
    </row>
    <row r="17" ht="23" customHeight="1">
      <c r="A17" s="2" t="str">
        <v>子公司A</v>
      </c>
      <c r="B17" s="2" t="str">
        <v>2025-01</v>
      </c>
      <c r="C17" s="2" t="str">
        <v>资产负债率</v>
      </c>
      <c r="D17" s="2" t="str">
        <v>%</v>
      </c>
      <c r="E17" s="3" t="n">
        <v>61.66</v>
      </c>
      <c r="F17" s="3"/>
      <c r="G17" s="8"/>
      <c r="H17" s="3" t="n">
        <v>61.66</v>
      </c>
      <c r="I17" s="8"/>
    </row>
    <row r="18" ht="23" customHeight="1">
      <c r="A18" s="2" t="str">
        <v>子公司A</v>
      </c>
      <c r="B18" s="2" t="str">
        <v>2025-01</v>
      </c>
      <c r="C18" s="2" t="str">
        <v>净资产收益率</v>
      </c>
      <c r="D18" s="2" t="str">
        <v>%</v>
      </c>
      <c r="E18" s="3" t="n">
        <v>1.69</v>
      </c>
      <c r="F18" s="3"/>
      <c r="G18" s="8"/>
      <c r="H18" s="3" t="n">
        <v>1.69</v>
      </c>
      <c r="I18" s="8"/>
    </row>
    <row r="19" ht="23" customHeight="1">
      <c r="A19" s="2" t="str">
        <v>子公司A</v>
      </c>
      <c r="B19" s="2" t="str">
        <v>2025-01</v>
      </c>
      <c r="C19" s="2" t="str">
        <v>新签收入合同金额</v>
      </c>
      <c r="D19" s="2" t="str">
        <v>万元</v>
      </c>
      <c r="E19" s="7" t="n">
        <v>1066.47</v>
      </c>
      <c r="F19" s="7"/>
      <c r="G19" s="8"/>
      <c r="H19" s="7" t="n">
        <v>1066.47</v>
      </c>
      <c r="I19" s="8"/>
    </row>
    <row r="20" ht="23" customHeight="1">
      <c r="A20" s="2" t="str">
        <v>子公司B</v>
      </c>
      <c r="B20" s="2" t="str">
        <v>2025-01</v>
      </c>
      <c r="C20" s="2" t="str">
        <v>营业总收入</v>
      </c>
      <c r="D20" s="2" t="str">
        <v>万元</v>
      </c>
      <c r="E20" s="7" t="n">
        <v>710.33</v>
      </c>
      <c r="F20" s="7"/>
      <c r="G20" s="8"/>
      <c r="H20" s="7" t="n">
        <v>710.33</v>
      </c>
      <c r="I20" s="8"/>
    </row>
    <row r="21" ht="23" customHeight="1">
      <c r="A21" s="2" t="str">
        <v>子公司B</v>
      </c>
      <c r="B21" s="2" t="str">
        <v>2025-01</v>
      </c>
      <c r="C21" s="2" t="str">
        <v>利润总额</v>
      </c>
      <c r="D21" s="2" t="str">
        <v>万元</v>
      </c>
      <c r="E21" s="7" t="n">
        <v>102.22</v>
      </c>
      <c r="F21" s="7"/>
      <c r="G21" s="8"/>
      <c r="H21" s="7" t="n">
        <v>102.22</v>
      </c>
      <c r="I21" s="8"/>
    </row>
    <row r="22" ht="23" customHeight="1">
      <c r="A22" s="2" t="str">
        <v>子公司B</v>
      </c>
      <c r="B22" s="2" t="str">
        <v>2025-01</v>
      </c>
      <c r="C22" s="2" t="str">
        <v>经营性现金流量净额</v>
      </c>
      <c r="D22" s="2" t="str">
        <v>万元</v>
      </c>
      <c r="E22" s="7" t="n">
        <v>-14.55</v>
      </c>
      <c r="F22" s="7"/>
      <c r="G22" s="8"/>
      <c r="H22" s="7" t="n">
        <v>-14.55</v>
      </c>
      <c r="I22" s="8"/>
    </row>
    <row r="23" ht="23" customHeight="1">
      <c r="A23" s="2" t="str">
        <v>子公司B</v>
      </c>
      <c r="B23" s="2" t="str">
        <v>2025-01</v>
      </c>
      <c r="C23" s="2" t="str">
        <v>资产负债率</v>
      </c>
      <c r="D23" s="2" t="str">
        <v>%</v>
      </c>
      <c r="E23" s="3" t="n">
        <v>54.64</v>
      </c>
      <c r="F23" s="3"/>
      <c r="G23" s="8"/>
      <c r="H23" s="3" t="n">
        <v>54.64</v>
      </c>
      <c r="I23" s="8"/>
    </row>
    <row r="24" ht="23" customHeight="1">
      <c r="A24" s="2" t="str">
        <v>子公司B</v>
      </c>
      <c r="B24" s="2" t="str">
        <v>2025-01</v>
      </c>
      <c r="C24" s="2" t="str">
        <v>净资产收益率</v>
      </c>
      <c r="D24" s="2" t="str">
        <v>%</v>
      </c>
      <c r="E24" s="3" t="n">
        <v>1.78</v>
      </c>
      <c r="F24" s="3"/>
      <c r="G24" s="8"/>
      <c r="H24" s="3" t="n">
        <v>1.78</v>
      </c>
      <c r="I24" s="8"/>
    </row>
    <row r="25" ht="23" customHeight="1">
      <c r="A25" s="2" t="str">
        <v>子公司B</v>
      </c>
      <c r="B25" s="2" t="str">
        <v>2025-01</v>
      </c>
      <c r="C25" s="2" t="str">
        <v>新签收入合同金额</v>
      </c>
      <c r="D25" s="2" t="str">
        <v>万元</v>
      </c>
      <c r="E25" s="7" t="n">
        <v>879.67</v>
      </c>
      <c r="F25" s="7"/>
      <c r="G25" s="8"/>
      <c r="H25" s="7" t="n">
        <v>879.67</v>
      </c>
      <c r="I25" s="8"/>
    </row>
    <row r="26" ht="23" customHeight="1">
      <c r="A26" s="2" t="str">
        <v>子公司C</v>
      </c>
      <c r="B26" s="2" t="str">
        <v>2025-01</v>
      </c>
      <c r="C26" s="2" t="str">
        <v>营业总收入</v>
      </c>
      <c r="D26" s="2" t="str">
        <v>万元</v>
      </c>
      <c r="E26" s="7" t="n">
        <v>540.43</v>
      </c>
      <c r="F26" s="7"/>
      <c r="G26" s="8"/>
      <c r="H26" s="7" t="n">
        <v>540.43</v>
      </c>
      <c r="I26" s="8"/>
    </row>
    <row r="27" ht="23" customHeight="1">
      <c r="A27" s="2" t="str">
        <v>子公司C</v>
      </c>
      <c r="B27" s="2" t="str">
        <v>2025-01</v>
      </c>
      <c r="C27" s="2" t="str">
        <v>利润总额</v>
      </c>
      <c r="D27" s="2" t="str">
        <v>万元</v>
      </c>
      <c r="E27" s="7" t="n">
        <v>80.36</v>
      </c>
      <c r="F27" s="7"/>
      <c r="G27" s="8"/>
      <c r="H27" s="7" t="n">
        <v>80.36</v>
      </c>
      <c r="I27" s="8"/>
    </row>
    <row r="28" ht="23" customHeight="1">
      <c r="A28" s="2" t="str">
        <v>子公司C</v>
      </c>
      <c r="B28" s="2" t="str">
        <v>2025-01</v>
      </c>
      <c r="C28" s="2" t="str">
        <v>经营性现金流量净额</v>
      </c>
      <c r="D28" s="2" t="str">
        <v>万元</v>
      </c>
      <c r="E28" s="7" t="n">
        <v>-8.74</v>
      </c>
      <c r="F28" s="7"/>
      <c r="G28" s="8"/>
      <c r="H28" s="7" t="n">
        <v>-8.74</v>
      </c>
      <c r="I28" s="8"/>
    </row>
    <row r="29" ht="23" customHeight="1">
      <c r="A29" s="2" t="str">
        <v>子公司C</v>
      </c>
      <c r="B29" s="2" t="str">
        <v>2025-01</v>
      </c>
      <c r="C29" s="2" t="str">
        <v>资产负债率</v>
      </c>
      <c r="D29" s="2" t="str">
        <v>%</v>
      </c>
      <c r="E29" s="3" t="n">
        <v>47.66</v>
      </c>
      <c r="F29" s="3"/>
      <c r="G29" s="8"/>
      <c r="H29" s="3" t="n">
        <v>47.66</v>
      </c>
      <c r="I29" s="8"/>
    </row>
    <row r="30" ht="23" customHeight="1">
      <c r="A30" s="2" t="str">
        <v>子公司C</v>
      </c>
      <c r="B30" s="2" t="str">
        <v>2025-01</v>
      </c>
      <c r="C30" s="2" t="str">
        <v>净资产收益率</v>
      </c>
      <c r="D30" s="2" t="str">
        <v>%</v>
      </c>
      <c r="E30" s="3" t="n">
        <v>1.64</v>
      </c>
      <c r="F30" s="3"/>
      <c r="G30" s="8"/>
      <c r="H30" s="3" t="n">
        <v>1.64</v>
      </c>
      <c r="I30" s="8"/>
    </row>
    <row r="31" ht="23" customHeight="1">
      <c r="A31" s="2" t="str">
        <v>子公司C</v>
      </c>
      <c r="B31" s="2" t="str">
        <v>2025-01</v>
      </c>
      <c r="C31" s="2" t="str">
        <v>新签收入合同金额</v>
      </c>
      <c r="D31" s="2" t="str">
        <v>万元</v>
      </c>
      <c r="E31" s="7" t="n">
        <v>596.04</v>
      </c>
      <c r="F31" s="7"/>
      <c r="G31" s="8"/>
      <c r="H31" s="7" t="n">
        <v>596.04</v>
      </c>
      <c r="I31" s="8"/>
    </row>
    <row r="32" ht="23" customHeight="1">
      <c r="A32" s="2" t="str">
        <v>集团公司（合并）</v>
      </c>
      <c r="B32" s="2" t="str">
        <v>2025-02</v>
      </c>
      <c r="C32" s="2" t="str">
        <v>营业总收入</v>
      </c>
      <c r="D32" s="2" t="str">
        <v>万元</v>
      </c>
      <c r="E32" s="7" t="n">
        <v>6543.51</v>
      </c>
      <c r="F32" s="7"/>
      <c r="G32" s="8"/>
      <c r="H32" s="7" t="n">
        <v>3197.77</v>
      </c>
      <c r="I32" s="8" t="n">
        <v>-0.0442263893787323</v>
      </c>
    </row>
    <row r="33" ht="23" customHeight="1">
      <c r="A33" s="2" t="str">
        <v>集团公司（合并）</v>
      </c>
      <c r="B33" s="2" t="str">
        <v>2025-02</v>
      </c>
      <c r="C33" s="2" t="str">
        <v>利润总额</v>
      </c>
      <c r="D33" s="2" t="str">
        <v>万元</v>
      </c>
      <c r="E33" s="7" t="n">
        <v>825.02</v>
      </c>
      <c r="F33" s="7"/>
      <c r="G33" s="8"/>
      <c r="H33" s="7" t="n">
        <v>405</v>
      </c>
      <c r="I33" s="8" t="n">
        <v>-0.03576020189514781</v>
      </c>
    </row>
    <row r="34" ht="23" customHeight="1">
      <c r="A34" s="2" t="str">
        <v>集团公司（合并）</v>
      </c>
      <c r="B34" s="2" t="str">
        <v>2025-02</v>
      </c>
      <c r="C34" s="2" t="str">
        <v>经营性现金流量净额</v>
      </c>
      <c r="D34" s="2" t="str">
        <v>万元</v>
      </c>
      <c r="E34" s="7" t="n">
        <v>-258.11</v>
      </c>
      <c r="F34" s="7"/>
      <c r="G34" s="8"/>
      <c r="H34" s="7" t="n">
        <v>-124.5</v>
      </c>
      <c r="I34" s="8" t="n">
        <v>0.06818351919766494</v>
      </c>
    </row>
    <row r="35" ht="23" customHeight="1">
      <c r="A35" s="2" t="str">
        <v>集团公司（合并）</v>
      </c>
      <c r="B35" s="2" t="str">
        <v>2025-02</v>
      </c>
      <c r="C35" s="2" t="str">
        <v>资产负债率</v>
      </c>
      <c r="D35" s="2" t="str">
        <v>%</v>
      </c>
      <c r="E35" s="3" t="n">
        <v>58.81</v>
      </c>
      <c r="F35" s="3"/>
      <c r="G35" s="8"/>
      <c r="H35" s="3" t="n">
        <v>58.81</v>
      </c>
      <c r="I35" s="8" t="n">
        <v>-0.005243572395128471</v>
      </c>
    </row>
    <row r="36" ht="23" customHeight="1">
      <c r="A36" s="2" t="str">
        <v>集团公司（合并）</v>
      </c>
      <c r="B36" s="2" t="str">
        <v>2025-02</v>
      </c>
      <c r="C36" s="2" t="str">
        <v>净资产收益率</v>
      </c>
      <c r="D36" s="2" t="str">
        <v>%</v>
      </c>
      <c r="E36" s="3" t="n">
        <v>2.92</v>
      </c>
      <c r="F36" s="3"/>
      <c r="G36" s="8"/>
      <c r="H36" s="3" t="n">
        <v>1.42</v>
      </c>
      <c r="I36" s="8" t="n">
        <v>-0.05333333333333338</v>
      </c>
    </row>
    <row r="37" ht="23" customHeight="1">
      <c r="A37" s="2" t="str">
        <v>集团公司（合并）</v>
      </c>
      <c r="B37" s="2" t="str">
        <v>2025-02</v>
      </c>
      <c r="C37" s="2" t="str">
        <v>新签收入合同金额</v>
      </c>
      <c r="D37" s="2" t="str">
        <v>万元</v>
      </c>
      <c r="E37" s="7" t="n">
        <v>7782.9</v>
      </c>
      <c r="F37" s="7"/>
      <c r="G37" s="8"/>
      <c r="H37" s="7" t="n">
        <v>3833.56</v>
      </c>
      <c r="I37" s="8" t="n">
        <v>-0.02931629082327685</v>
      </c>
    </row>
    <row r="38" ht="23" customHeight="1">
      <c r="A38" s="2" t="str">
        <v>集团公司（本部）</v>
      </c>
      <c r="B38" s="2" t="str">
        <v>2025-02</v>
      </c>
      <c r="C38" s="2" t="str">
        <v>营业总收入</v>
      </c>
      <c r="D38" s="2" t="str">
        <v>万元</v>
      </c>
      <c r="E38" s="7" t="n">
        <v>2875.67</v>
      </c>
      <c r="F38" s="7"/>
      <c r="G38" s="8"/>
      <c r="H38" s="7" t="n">
        <v>1417.67</v>
      </c>
      <c r="I38" s="8" t="n">
        <v>-0.027661179698216687</v>
      </c>
    </row>
    <row r="39" ht="23" customHeight="1">
      <c r="A39" s="2" t="str">
        <v>集团公司（本部）</v>
      </c>
      <c r="B39" s="2" t="str">
        <v>2025-02</v>
      </c>
      <c r="C39" s="2" t="str">
        <v>利润总额</v>
      </c>
      <c r="D39" s="2" t="str">
        <v>万元</v>
      </c>
      <c r="E39" s="7" t="n">
        <v>312.9</v>
      </c>
      <c r="F39" s="7"/>
      <c r="G39" s="8"/>
      <c r="H39" s="7" t="n">
        <v>159.81</v>
      </c>
      <c r="I39" s="8" t="n">
        <v>0.04389574759945129</v>
      </c>
    </row>
    <row r="40" ht="23" customHeight="1">
      <c r="A40" s="2" t="str">
        <v>集团公司（本部）</v>
      </c>
      <c r="B40" s="2" t="str">
        <v>2025-02</v>
      </c>
      <c r="C40" s="2" t="str">
        <v>经营性现金流量净额</v>
      </c>
      <c r="D40" s="2" t="str">
        <v>万元</v>
      </c>
      <c r="E40" s="7" t="n">
        <v>-149.74</v>
      </c>
      <c r="F40" s="7"/>
      <c r="G40" s="8"/>
      <c r="H40" s="7" t="n">
        <v>-68.82</v>
      </c>
      <c r="I40" s="8" t="n">
        <v>0.1495304003954524</v>
      </c>
    </row>
    <row r="41" ht="23" customHeight="1">
      <c r="A41" s="2" t="str">
        <v>集团公司（本部）</v>
      </c>
      <c r="B41" s="2" t="str">
        <v>2025-02</v>
      </c>
      <c r="C41" s="2" t="str">
        <v>资产负债率</v>
      </c>
      <c r="D41" s="2" t="str">
        <v>%</v>
      </c>
      <c r="E41" s="3" t="n">
        <v>57.55</v>
      </c>
      <c r="F41" s="3"/>
      <c r="G41" s="8"/>
      <c r="H41" s="3" t="n">
        <v>57.55</v>
      </c>
      <c r="I41" s="8" t="n">
        <v>-0.003808204950666539</v>
      </c>
    </row>
    <row r="42" ht="23" customHeight="1">
      <c r="A42" s="2" t="str">
        <v>集团公司（本部）</v>
      </c>
      <c r="B42" s="2" t="str">
        <v>2025-02</v>
      </c>
      <c r="C42" s="2" t="str">
        <v>净资产收益率</v>
      </c>
      <c r="D42" s="2" t="str">
        <v>%</v>
      </c>
      <c r="E42" s="3" t="n">
        <v>2.21</v>
      </c>
      <c r="F42" s="3"/>
      <c r="G42" s="8"/>
      <c r="H42" s="3" t="n">
        <v>1.12</v>
      </c>
      <c r="I42" s="8" t="n">
        <v>0.027522935779816536</v>
      </c>
    </row>
    <row r="43" ht="23" customHeight="1">
      <c r="A43" s="2" t="str">
        <v>集团公司（本部）</v>
      </c>
      <c r="B43" s="2" t="str">
        <v>2025-02</v>
      </c>
      <c r="C43" s="2" t="str">
        <v>新签收入合同金额</v>
      </c>
      <c r="D43" s="2" t="str">
        <v>万元</v>
      </c>
      <c r="E43" s="7" t="n">
        <v>3279.36</v>
      </c>
      <c r="F43" s="7"/>
      <c r="G43" s="8"/>
      <c r="H43" s="7" t="n">
        <v>1707.64</v>
      </c>
      <c r="I43" s="8" t="n">
        <v>0.08647850762222284</v>
      </c>
    </row>
    <row r="44" ht="23" customHeight="1">
      <c r="A44" s="2" t="str">
        <v>子公司A</v>
      </c>
      <c r="B44" s="2" t="str">
        <v>2025-02</v>
      </c>
      <c r="C44" s="2" t="str">
        <v>营业总收入</v>
      </c>
      <c r="D44" s="2" t="str">
        <v>万元</v>
      </c>
      <c r="E44" s="7" t="n">
        <v>1698.8</v>
      </c>
      <c r="F44" s="7"/>
      <c r="G44" s="8"/>
      <c r="H44" s="7" t="n">
        <v>829.23</v>
      </c>
      <c r="I44" s="8" t="n">
        <v>-0.04639074485090335</v>
      </c>
    </row>
    <row r="45" ht="23" customHeight="1">
      <c r="A45" s="2" t="str">
        <v>子公司A</v>
      </c>
      <c r="B45" s="2" t="str">
        <v>2025-02</v>
      </c>
      <c r="C45" s="2" t="str">
        <v>利润总额</v>
      </c>
      <c r="D45" s="2" t="str">
        <v>万元</v>
      </c>
      <c r="E45" s="7" t="n">
        <v>220.81</v>
      </c>
      <c r="F45" s="7"/>
      <c r="G45" s="8"/>
      <c r="H45" s="7" t="n">
        <v>108.55</v>
      </c>
      <c r="I45" s="8" t="n">
        <v>-0.03304828077676829</v>
      </c>
    </row>
    <row r="46" ht="23" customHeight="1">
      <c r="A46" s="2" t="str">
        <v>子公司A</v>
      </c>
      <c r="B46" s="2" t="str">
        <v>2025-02</v>
      </c>
      <c r="C46" s="2" t="str">
        <v>经营性现金流量净额</v>
      </c>
      <c r="D46" s="2" t="str">
        <v>万元</v>
      </c>
      <c r="E46" s="7" t="n">
        <v>-56.09</v>
      </c>
      <c r="F46" s="7"/>
      <c r="G46" s="8"/>
      <c r="H46" s="7" t="n">
        <v>-26.69</v>
      </c>
      <c r="I46" s="8" t="n">
        <v>0.09217687074829924</v>
      </c>
    </row>
    <row r="47" ht="23" customHeight="1">
      <c r="A47" s="2" t="str">
        <v>子公司A</v>
      </c>
      <c r="B47" s="2" t="str">
        <v>2025-02</v>
      </c>
      <c r="C47" s="2" t="str">
        <v>资产负债率</v>
      </c>
      <c r="D47" s="2" t="str">
        <v>%</v>
      </c>
      <c r="E47" s="3" t="n">
        <v>61.34</v>
      </c>
      <c r="F47" s="3"/>
      <c r="G47" s="8"/>
      <c r="H47" s="3" t="n">
        <v>61.34</v>
      </c>
      <c r="I47" s="8" t="n">
        <v>-0.005189750243269432</v>
      </c>
    </row>
    <row r="48" ht="23" customHeight="1">
      <c r="A48" s="2" t="str">
        <v>子公司A</v>
      </c>
      <c r="B48" s="2" t="str">
        <v>2025-02</v>
      </c>
      <c r="C48" s="2" t="str">
        <v>净资产收益率</v>
      </c>
      <c r="D48" s="2" t="str">
        <v>%</v>
      </c>
      <c r="E48" s="3" t="n">
        <v>3.3</v>
      </c>
      <c r="F48" s="3"/>
      <c r="G48" s="8"/>
      <c r="H48" s="3" t="n">
        <v>1.61</v>
      </c>
      <c r="I48" s="8" t="n">
        <v>-0.047337278106508784</v>
      </c>
    </row>
    <row r="49" ht="23" customHeight="1">
      <c r="A49" s="2" t="str">
        <v>子公司A</v>
      </c>
      <c r="B49" s="2" t="str">
        <v>2025-02</v>
      </c>
      <c r="C49" s="2" t="str">
        <v>新签收入合同金额</v>
      </c>
      <c r="D49" s="2" t="str">
        <v>万元</v>
      </c>
      <c r="E49" s="7" t="n">
        <v>2102.83</v>
      </c>
      <c r="F49" s="7"/>
      <c r="G49" s="8"/>
      <c r="H49" s="7" t="n">
        <v>1036.36</v>
      </c>
      <c r="I49" s="8" t="n">
        <v>-0.028233330520314803</v>
      </c>
    </row>
    <row r="50" ht="23" customHeight="1">
      <c r="A50" s="2" t="str">
        <v>子公司B</v>
      </c>
      <c r="B50" s="2" t="str">
        <v>2025-02</v>
      </c>
      <c r="C50" s="2" t="str">
        <v>营业总收入</v>
      </c>
      <c r="D50" s="2" t="str">
        <v>万元</v>
      </c>
      <c r="E50" s="7" t="n">
        <v>1376.32</v>
      </c>
      <c r="F50" s="7"/>
      <c r="G50" s="8"/>
      <c r="H50" s="7" t="n">
        <v>665.99</v>
      </c>
      <c r="I50" s="8" t="n">
        <v>-0.06242169132656657</v>
      </c>
    </row>
    <row r="51" ht="23" customHeight="1">
      <c r="A51" s="2" t="str">
        <v>子公司B</v>
      </c>
      <c r="B51" s="2" t="str">
        <v>2025-02</v>
      </c>
      <c r="C51" s="2" t="str">
        <v>利润总额</v>
      </c>
      <c r="D51" s="2" t="str">
        <v>万元</v>
      </c>
      <c r="E51" s="7" t="n">
        <v>194.21</v>
      </c>
      <c r="F51" s="7"/>
      <c r="G51" s="8"/>
      <c r="H51" s="7" t="n">
        <v>91.99</v>
      </c>
      <c r="I51" s="8" t="n">
        <v>-0.10007826257092549</v>
      </c>
    </row>
    <row r="52" ht="23" customHeight="1">
      <c r="A52" s="2" t="str">
        <v>子公司B</v>
      </c>
      <c r="B52" s="2" t="str">
        <v>2025-02</v>
      </c>
      <c r="C52" s="2" t="str">
        <v>经营性现金流量净额</v>
      </c>
      <c r="D52" s="2" t="str">
        <v>万元</v>
      </c>
      <c r="E52" s="7" t="n">
        <v>-31.66</v>
      </c>
      <c r="F52" s="7"/>
      <c r="G52" s="8"/>
      <c r="H52" s="7" t="n">
        <v>-17.11</v>
      </c>
      <c r="I52" s="8" t="n">
        <v>-0.1759450171821305</v>
      </c>
    </row>
    <row r="53" ht="23" customHeight="1">
      <c r="A53" s="2" t="str">
        <v>子公司B</v>
      </c>
      <c r="B53" s="2" t="str">
        <v>2025-02</v>
      </c>
      <c r="C53" s="2" t="str">
        <v>资产负债率</v>
      </c>
      <c r="D53" s="2" t="str">
        <v>%</v>
      </c>
      <c r="E53" s="3" t="n">
        <v>54.3</v>
      </c>
      <c r="F53" s="3"/>
      <c r="G53" s="8"/>
      <c r="H53" s="3" t="n">
        <v>54.3</v>
      </c>
      <c r="I53" s="8" t="n">
        <v>-0.006222547584187471</v>
      </c>
    </row>
    <row r="54" ht="23" customHeight="1">
      <c r="A54" s="2" t="str">
        <v>子公司B</v>
      </c>
      <c r="B54" s="2" t="str">
        <v>2025-02</v>
      </c>
      <c r="C54" s="2" t="str">
        <v>净资产收益率</v>
      </c>
      <c r="D54" s="2" t="str">
        <v>%</v>
      </c>
      <c r="E54" s="3" t="n">
        <v>3.35</v>
      </c>
      <c r="F54" s="3"/>
      <c r="G54" s="8"/>
      <c r="H54" s="3" t="n">
        <v>1.57</v>
      </c>
      <c r="I54" s="8" t="n">
        <v>-0.11797752808988762</v>
      </c>
    </row>
    <row r="55" ht="23" customHeight="1">
      <c r="A55" s="2" t="str">
        <v>子公司B</v>
      </c>
      <c r="B55" s="2" t="str">
        <v>2025-02</v>
      </c>
      <c r="C55" s="2" t="str">
        <v>新签收入合同金额</v>
      </c>
      <c r="D55" s="2" t="str">
        <v>万元</v>
      </c>
      <c r="E55" s="7" t="n">
        <v>1636.96</v>
      </c>
      <c r="F55" s="7"/>
      <c r="G55" s="8"/>
      <c r="H55" s="7" t="n">
        <v>757.29</v>
      </c>
      <c r="I55" s="8" t="n">
        <v>-0.13912035195016312</v>
      </c>
    </row>
    <row r="56" ht="23" customHeight="1">
      <c r="A56" s="2" t="str">
        <v>子公司C</v>
      </c>
      <c r="B56" s="2" t="str">
        <v>2025-02</v>
      </c>
      <c r="C56" s="2" t="str">
        <v>营业总收入</v>
      </c>
      <c r="D56" s="2" t="str">
        <v>万元</v>
      </c>
      <c r="E56" s="7" t="n">
        <v>1047.61</v>
      </c>
      <c r="F56" s="7"/>
      <c r="G56" s="8"/>
      <c r="H56" s="7" t="n">
        <v>507.18</v>
      </c>
      <c r="I56" s="8" t="n">
        <v>-0.06152508187924421</v>
      </c>
    </row>
    <row r="57" ht="23" customHeight="1">
      <c r="A57" s="2" t="str">
        <v>子公司C</v>
      </c>
      <c r="B57" s="2" t="str">
        <v>2025-02</v>
      </c>
      <c r="C57" s="2" t="str">
        <v>利润总额</v>
      </c>
      <c r="D57" s="2" t="str">
        <v>万元</v>
      </c>
      <c r="E57" s="7" t="n">
        <v>151.69</v>
      </c>
      <c r="F57" s="7"/>
      <c r="G57" s="8"/>
      <c r="H57" s="7" t="n">
        <v>71.33</v>
      </c>
      <c r="I57" s="8" t="n">
        <v>-0.1123693379790941</v>
      </c>
    </row>
    <row r="58" ht="23" customHeight="1">
      <c r="A58" s="2" t="str">
        <v>子公司C</v>
      </c>
      <c r="B58" s="2" t="str">
        <v>2025-02</v>
      </c>
      <c r="C58" s="2" t="str">
        <v>经营性现金流量净额</v>
      </c>
      <c r="D58" s="2" t="str">
        <v>万元</v>
      </c>
      <c r="E58" s="7" t="n">
        <v>-20.62</v>
      </c>
      <c r="F58" s="7"/>
      <c r="G58" s="8"/>
      <c r="H58" s="7" t="n">
        <v>-11.88</v>
      </c>
      <c r="I58" s="8" t="n">
        <v>-0.3592677345537758</v>
      </c>
    </row>
    <row r="59" ht="23" customHeight="1">
      <c r="A59" s="2" t="str">
        <v>子公司C</v>
      </c>
      <c r="B59" s="2" t="str">
        <v>2025-02</v>
      </c>
      <c r="C59" s="2" t="str">
        <v>资产负债率</v>
      </c>
      <c r="D59" s="2" t="str">
        <v>%</v>
      </c>
      <c r="E59" s="3" t="n">
        <v>47.33</v>
      </c>
      <c r="F59" s="3"/>
      <c r="G59" s="8"/>
      <c r="H59" s="3" t="n">
        <v>47.33</v>
      </c>
      <c r="I59" s="8" t="n">
        <v>-0.006924045321023884</v>
      </c>
    </row>
    <row r="60" ht="23" customHeight="1">
      <c r="A60" s="2" t="str">
        <v>子公司C</v>
      </c>
      <c r="B60" s="2" t="str">
        <v>2025-02</v>
      </c>
      <c r="C60" s="2" t="str">
        <v>净资产收益率</v>
      </c>
      <c r="D60" s="2" t="str">
        <v>%</v>
      </c>
      <c r="E60" s="3" t="n">
        <v>3.08</v>
      </c>
      <c r="F60" s="3"/>
      <c r="G60" s="8"/>
      <c r="H60" s="3" t="n">
        <v>1.44</v>
      </c>
      <c r="I60" s="8" t="n">
        <v>-0.1219512195121951</v>
      </c>
    </row>
    <row r="61" ht="23" customHeight="1">
      <c r="A61" s="2" t="str">
        <v>子公司C</v>
      </c>
      <c r="B61" s="2" t="str">
        <v>2025-02</v>
      </c>
      <c r="C61" s="2" t="str">
        <v>新签收入合同金额</v>
      </c>
      <c r="D61" s="2" t="str">
        <v>万元</v>
      </c>
      <c r="E61" s="7" t="n">
        <v>1088.04</v>
      </c>
      <c r="F61" s="7"/>
      <c r="G61" s="8"/>
      <c r="H61" s="7" t="n">
        <v>492</v>
      </c>
      <c r="I61" s="8" t="n">
        <v>-0.17455204348701425</v>
      </c>
    </row>
    <row r="62" ht="23" customHeight="1">
      <c r="A62" s="2" t="str">
        <v>集团公司（合并）</v>
      </c>
      <c r="B62" s="2" t="str">
        <v>2025-03</v>
      </c>
      <c r="C62" s="2" t="str">
        <v>营业总收入</v>
      </c>
      <c r="D62" s="2" t="str">
        <v>万元</v>
      </c>
      <c r="E62" s="7" t="n">
        <v>11005.73</v>
      </c>
      <c r="F62" s="7"/>
      <c r="G62" s="8"/>
      <c r="H62" s="7" t="n">
        <v>4462.22</v>
      </c>
      <c r="I62" s="8" t="n">
        <v>0.3954161806508912</v>
      </c>
    </row>
    <row r="63" ht="23" customHeight="1">
      <c r="A63" s="2" t="str">
        <v>集团公司（合并）</v>
      </c>
      <c r="B63" s="2" t="str">
        <v>2025-03</v>
      </c>
      <c r="C63" s="2" t="str">
        <v>利润总额</v>
      </c>
      <c r="D63" s="2" t="str">
        <v>万元</v>
      </c>
      <c r="E63" s="7" t="n">
        <v>1382.79</v>
      </c>
      <c r="F63" s="7"/>
      <c r="G63" s="8"/>
      <c r="H63" s="7" t="n">
        <v>557.77</v>
      </c>
      <c r="I63" s="8" t="n">
        <v>0.3772098765432098</v>
      </c>
    </row>
    <row r="64" ht="23" customHeight="1">
      <c r="A64" s="2" t="str">
        <v>集团公司（合并）</v>
      </c>
      <c r="B64" s="2" t="str">
        <v>2025-03</v>
      </c>
      <c r="C64" s="2" t="str">
        <v>经营性现金流量净额</v>
      </c>
      <c r="D64" s="2" t="str">
        <v>万元</v>
      </c>
      <c r="E64" s="7" t="n">
        <v>850.08</v>
      </c>
      <c r="F64" s="7"/>
      <c r="G64" s="8"/>
      <c r="H64" s="7" t="n">
        <v>1108.19</v>
      </c>
      <c r="I64" s="8" t="n">
        <v>9.901124497991969</v>
      </c>
    </row>
    <row r="65" ht="23" customHeight="1">
      <c r="A65" s="2" t="str">
        <v>集团公司（合并）</v>
      </c>
      <c r="B65" s="2" t="str">
        <v>2025-03</v>
      </c>
      <c r="C65" s="2" t="str">
        <v>资产负债率</v>
      </c>
      <c r="D65" s="2" t="str">
        <v>%</v>
      </c>
      <c r="E65" s="3" t="n">
        <v>58.38</v>
      </c>
      <c r="F65" s="3"/>
      <c r="G65" s="8"/>
      <c r="H65" s="3" t="n">
        <v>58.38</v>
      </c>
      <c r="I65" s="8" t="n">
        <v>-0.007311681686787956</v>
      </c>
    </row>
    <row r="66" ht="23" customHeight="1">
      <c r="A66" s="2" t="str">
        <v>集团公司（合并）</v>
      </c>
      <c r="B66" s="2" t="str">
        <v>2025-03</v>
      </c>
      <c r="C66" s="2" t="str">
        <v>净资产收益率</v>
      </c>
      <c r="D66" s="2" t="str">
        <v>%</v>
      </c>
      <c r="E66" s="3" t="n">
        <v>4.85</v>
      </c>
      <c r="F66" s="3"/>
      <c r="G66" s="8"/>
      <c r="H66" s="3" t="n">
        <v>1.93</v>
      </c>
      <c r="I66" s="8" t="n">
        <v>0.3591549295774648</v>
      </c>
    </row>
    <row r="67" ht="23" customHeight="1">
      <c r="A67" s="2" t="str">
        <v>集团公司（合并）</v>
      </c>
      <c r="B67" s="2" t="str">
        <v>2025-03</v>
      </c>
      <c r="C67" s="2" t="str">
        <v>新签收入合同金额</v>
      </c>
      <c r="D67" s="2" t="str">
        <v>万元</v>
      </c>
      <c r="E67" s="7" t="n">
        <v>14023.4</v>
      </c>
      <c r="F67" s="7"/>
      <c r="G67" s="8"/>
      <c r="H67" s="7" t="n">
        <v>6240.5</v>
      </c>
      <c r="I67" s="8" t="n">
        <v>0.627860265653857</v>
      </c>
    </row>
    <row r="68" ht="23" customHeight="1">
      <c r="A68" s="2" t="str">
        <v>集团公司（本部）</v>
      </c>
      <c r="B68" s="2" t="str">
        <v>2025-03</v>
      </c>
      <c r="C68" s="2" t="str">
        <v>营业总收入</v>
      </c>
      <c r="D68" s="2" t="str">
        <v>万元</v>
      </c>
      <c r="E68" s="7" t="n">
        <v>4854.2</v>
      </c>
      <c r="F68" s="7"/>
      <c r="G68" s="8"/>
      <c r="H68" s="7" t="n">
        <v>1978.53</v>
      </c>
      <c r="I68" s="8" t="n">
        <v>0.39562098372681925</v>
      </c>
    </row>
    <row r="69" ht="23" customHeight="1">
      <c r="A69" s="2" t="str">
        <v>集团公司（本部）</v>
      </c>
      <c r="B69" s="2" t="str">
        <v>2025-03</v>
      </c>
      <c r="C69" s="2" t="str">
        <v>利润总额</v>
      </c>
      <c r="D69" s="2" t="str">
        <v>万元</v>
      </c>
      <c r="E69" s="7" t="n">
        <v>544.04</v>
      </c>
      <c r="F69" s="7"/>
      <c r="G69" s="8"/>
      <c r="H69" s="7" t="n">
        <v>231.14</v>
      </c>
      <c r="I69" s="8" t="n">
        <v>0.4463425317564607</v>
      </c>
    </row>
    <row r="70" ht="23" customHeight="1">
      <c r="A70" s="2" t="str">
        <v>集团公司（本部）</v>
      </c>
      <c r="B70" s="2" t="str">
        <v>2025-03</v>
      </c>
      <c r="C70" s="2" t="str">
        <v>经营性现金流量净额</v>
      </c>
      <c r="D70" s="2" t="str">
        <v>万元</v>
      </c>
      <c r="E70" s="7" t="n">
        <v>295.71</v>
      </c>
      <c r="F70" s="7"/>
      <c r="G70" s="8"/>
      <c r="H70" s="7" t="n">
        <v>445.45</v>
      </c>
      <c r="I70" s="8" t="n">
        <v>7.472682359779134</v>
      </c>
    </row>
    <row r="71" ht="23" customHeight="1">
      <c r="A71" s="2" t="str">
        <v>集团公司（本部）</v>
      </c>
      <c r="B71" s="2" t="str">
        <v>2025-03</v>
      </c>
      <c r="C71" s="2" t="str">
        <v>资产负债率</v>
      </c>
      <c r="D71" s="2" t="str">
        <v>%</v>
      </c>
      <c r="E71" s="3" t="n">
        <v>57.24</v>
      </c>
      <c r="F71" s="3"/>
      <c r="G71" s="8"/>
      <c r="H71" s="3" t="n">
        <v>57.24</v>
      </c>
      <c r="I71" s="8" t="n">
        <v>-0.005386620330147614</v>
      </c>
    </row>
    <row r="72" ht="23" customHeight="1">
      <c r="A72" s="2" t="str">
        <v>集团公司（本部）</v>
      </c>
      <c r="B72" s="2" t="str">
        <v>2025-03</v>
      </c>
      <c r="C72" s="2" t="str">
        <v>净资产收益率</v>
      </c>
      <c r="D72" s="2" t="str">
        <v>%</v>
      </c>
      <c r="E72" s="3" t="n">
        <v>3.81</v>
      </c>
      <c r="F72" s="3"/>
      <c r="G72" s="8"/>
      <c r="H72" s="3" t="n">
        <v>1.6</v>
      </c>
      <c r="I72" s="8" t="n">
        <v>0.4285714285714285</v>
      </c>
    </row>
    <row r="73" ht="23" customHeight="1">
      <c r="A73" s="2" t="str">
        <v>集团公司（本部）</v>
      </c>
      <c r="B73" s="2" t="str">
        <v>2025-03</v>
      </c>
      <c r="C73" s="2" t="str">
        <v>新签收入合同金额</v>
      </c>
      <c r="D73" s="2" t="str">
        <v>万元</v>
      </c>
      <c r="E73" s="7" t="n">
        <v>6267.55</v>
      </c>
      <c r="F73" s="7"/>
      <c r="G73" s="8"/>
      <c r="H73" s="7" t="n">
        <v>2988.19</v>
      </c>
      <c r="I73" s="8" t="n">
        <v>0.7498945913658616</v>
      </c>
    </row>
    <row r="74" ht="23" customHeight="1">
      <c r="A74" s="2" t="str">
        <v>子公司A</v>
      </c>
      <c r="B74" s="2" t="str">
        <v>2025-03</v>
      </c>
      <c r="C74" s="2" t="str">
        <v>营业总收入</v>
      </c>
      <c r="D74" s="2" t="str">
        <v>万元</v>
      </c>
      <c r="E74" s="7" t="n">
        <v>2843.45</v>
      </c>
      <c r="F74" s="7"/>
      <c r="G74" s="8"/>
      <c r="H74" s="7" t="n">
        <v>1144.65</v>
      </c>
      <c r="I74" s="8" t="n">
        <v>0.38037697623096134</v>
      </c>
    </row>
    <row r="75" ht="23" customHeight="1">
      <c r="A75" s="2" t="str">
        <v>子公司A</v>
      </c>
      <c r="B75" s="2" t="str">
        <v>2025-03</v>
      </c>
      <c r="C75" s="2" t="str">
        <v>利润总额</v>
      </c>
      <c r="D75" s="2" t="str">
        <v>万元</v>
      </c>
      <c r="E75" s="7" t="n">
        <v>366.3</v>
      </c>
      <c r="F75" s="7"/>
      <c r="G75" s="8"/>
      <c r="H75" s="7" t="n">
        <v>145.49</v>
      </c>
      <c r="I75" s="8" t="n">
        <v>0.34030400736987576</v>
      </c>
    </row>
    <row r="76" ht="23" customHeight="1">
      <c r="A76" s="2" t="str">
        <v>子公司A</v>
      </c>
      <c r="B76" s="2" t="str">
        <v>2025-03</v>
      </c>
      <c r="C76" s="2" t="str">
        <v>经营性现金流量净额</v>
      </c>
      <c r="D76" s="2" t="str">
        <v>万元</v>
      </c>
      <c r="E76" s="7" t="n">
        <v>212.21</v>
      </c>
      <c r="F76" s="7"/>
      <c r="G76" s="8"/>
      <c r="H76" s="7" t="n">
        <v>268.3</v>
      </c>
      <c r="I76" s="8" t="n">
        <v>11.052454102660173</v>
      </c>
    </row>
    <row r="77" ht="23" customHeight="1">
      <c r="A77" s="2" t="str">
        <v>子公司A</v>
      </c>
      <c r="B77" s="2" t="str">
        <v>2025-03</v>
      </c>
      <c r="C77" s="2" t="str">
        <v>资产负债率</v>
      </c>
      <c r="D77" s="2" t="str">
        <v>%</v>
      </c>
      <c r="E77" s="3" t="n">
        <v>60.89</v>
      </c>
      <c r="F77" s="3"/>
      <c r="G77" s="8"/>
      <c r="H77" s="3" t="n">
        <v>60.89</v>
      </c>
      <c r="I77" s="8" t="n">
        <v>-0.007336159113139922</v>
      </c>
    </row>
    <row r="78" ht="23" customHeight="1">
      <c r="A78" s="2" t="str">
        <v>子公司A</v>
      </c>
      <c r="B78" s="2" t="str">
        <v>2025-03</v>
      </c>
      <c r="C78" s="2" t="str">
        <v>净资产收益率</v>
      </c>
      <c r="D78" s="2" t="str">
        <v>%</v>
      </c>
      <c r="E78" s="3" t="n">
        <v>5.41</v>
      </c>
      <c r="F78" s="3"/>
      <c r="G78" s="8"/>
      <c r="H78" s="3" t="n">
        <v>2.11</v>
      </c>
      <c r="I78" s="8" t="n">
        <v>0.31055900621118</v>
      </c>
    </row>
    <row r="79" ht="23" customHeight="1">
      <c r="A79" s="2" t="str">
        <v>子公司A</v>
      </c>
      <c r="B79" s="2" t="str">
        <v>2025-03</v>
      </c>
      <c r="C79" s="2" t="str">
        <v>新签收入合同金额</v>
      </c>
      <c r="D79" s="2" t="str">
        <v>万元</v>
      </c>
      <c r="E79" s="7" t="n">
        <v>3713.92</v>
      </c>
      <c r="F79" s="7"/>
      <c r="G79" s="8"/>
      <c r="H79" s="7" t="n">
        <v>1611.09</v>
      </c>
      <c r="I79" s="8" t="n">
        <v>0.5545659809332665</v>
      </c>
    </row>
    <row r="80" ht="23" customHeight="1">
      <c r="A80" s="2" t="str">
        <v>子公司B</v>
      </c>
      <c r="B80" s="2" t="str">
        <v>2025-03</v>
      </c>
      <c r="C80" s="2" t="str">
        <v>营业总收入</v>
      </c>
      <c r="D80" s="2" t="str">
        <v>万元</v>
      </c>
      <c r="E80" s="7" t="n">
        <v>2304.04</v>
      </c>
      <c r="F80" s="7"/>
      <c r="G80" s="8"/>
      <c r="H80" s="7" t="n">
        <v>927.72</v>
      </c>
      <c r="I80" s="8" t="n">
        <v>0.3929938887971291</v>
      </c>
    </row>
    <row r="81" ht="23" customHeight="1">
      <c r="A81" s="2" t="str">
        <v>子公司B</v>
      </c>
      <c r="B81" s="2" t="str">
        <v>2025-03</v>
      </c>
      <c r="C81" s="2" t="str">
        <v>利润总额</v>
      </c>
      <c r="D81" s="2" t="str">
        <v>万元</v>
      </c>
      <c r="E81" s="7" t="n">
        <v>314.75</v>
      </c>
      <c r="F81" s="7"/>
      <c r="G81" s="8"/>
      <c r="H81" s="7" t="n">
        <v>120.54</v>
      </c>
      <c r="I81" s="8" t="n">
        <v>0.3103598217197523</v>
      </c>
    </row>
    <row r="82" ht="23" customHeight="1">
      <c r="A82" s="2" t="str">
        <v>子公司B</v>
      </c>
      <c r="B82" s="2" t="str">
        <v>2025-03</v>
      </c>
      <c r="C82" s="2" t="str">
        <v>经营性现金流量净额</v>
      </c>
      <c r="D82" s="2" t="str">
        <v>万元</v>
      </c>
      <c r="E82" s="7" t="n">
        <v>188.15</v>
      </c>
      <c r="F82" s="7"/>
      <c r="G82" s="8"/>
      <c r="H82" s="7" t="n">
        <v>219.81</v>
      </c>
      <c r="I82" s="8" t="n">
        <v>13.846873173582702</v>
      </c>
    </row>
    <row r="83" ht="23" customHeight="1">
      <c r="A83" s="2" t="str">
        <v>子公司B</v>
      </c>
      <c r="B83" s="2" t="str">
        <v>2025-03</v>
      </c>
      <c r="C83" s="2" t="str">
        <v>资产负债率</v>
      </c>
      <c r="D83" s="2" t="str">
        <v>%</v>
      </c>
      <c r="E83" s="3" t="n">
        <v>53.83</v>
      </c>
      <c r="F83" s="3"/>
      <c r="G83" s="8"/>
      <c r="H83" s="3" t="n">
        <v>53.83</v>
      </c>
      <c r="I83" s="8" t="n">
        <v>-0.00865561694290974</v>
      </c>
    </row>
    <row r="84" ht="23" customHeight="1">
      <c r="A84" s="2" t="str">
        <v>子公司B</v>
      </c>
      <c r="B84" s="2" t="str">
        <v>2025-03</v>
      </c>
      <c r="C84" s="2" t="str">
        <v>净资产收益率</v>
      </c>
      <c r="D84" s="2" t="str">
        <v>%</v>
      </c>
      <c r="E84" s="3" t="n">
        <v>5.37</v>
      </c>
      <c r="F84" s="3"/>
      <c r="G84" s="8"/>
      <c r="H84" s="3" t="n">
        <v>2.02</v>
      </c>
      <c r="I84" s="8" t="n">
        <v>0.286624203821656</v>
      </c>
    </row>
    <row r="85" ht="23" customHeight="1">
      <c r="A85" s="2" t="str">
        <v>子公司B</v>
      </c>
      <c r="B85" s="2" t="str">
        <v>2025-03</v>
      </c>
      <c r="C85" s="2" t="str">
        <v>新签收入合同金额</v>
      </c>
      <c r="D85" s="2" t="str">
        <v>万元</v>
      </c>
      <c r="E85" s="7" t="n">
        <v>2753.94</v>
      </c>
      <c r="F85" s="7"/>
      <c r="G85" s="8"/>
      <c r="H85" s="7" t="n">
        <v>1116.98</v>
      </c>
      <c r="I85" s="8" t="n">
        <v>0.4749699586684098</v>
      </c>
    </row>
    <row r="86" ht="23" customHeight="1">
      <c r="A86" s="2" t="str">
        <v>子公司C</v>
      </c>
      <c r="B86" s="2" t="str">
        <v>2025-03</v>
      </c>
      <c r="C86" s="2" t="str">
        <v>营业总收入</v>
      </c>
      <c r="D86" s="2" t="str">
        <v>万元</v>
      </c>
      <c r="E86" s="7" t="n">
        <v>1769.14</v>
      </c>
      <c r="F86" s="7"/>
      <c r="G86" s="8"/>
      <c r="H86" s="7" t="n">
        <v>721.53</v>
      </c>
      <c r="I86" s="8" t="n">
        <v>0.4226310185732875</v>
      </c>
    </row>
    <row r="87" ht="23" customHeight="1">
      <c r="A87" s="2" t="str">
        <v>子公司C</v>
      </c>
      <c r="B87" s="2" t="str">
        <v>2025-03</v>
      </c>
      <c r="C87" s="2" t="str">
        <v>利润总额</v>
      </c>
      <c r="D87" s="2" t="str">
        <v>万元</v>
      </c>
      <c r="E87" s="7" t="n">
        <v>249.52</v>
      </c>
      <c r="F87" s="7"/>
      <c r="G87" s="8"/>
      <c r="H87" s="7" t="n">
        <v>97.83</v>
      </c>
      <c r="I87" s="8" t="n">
        <v>0.3715126875087621</v>
      </c>
    </row>
    <row r="88" ht="23" customHeight="1">
      <c r="A88" s="2" t="str">
        <v>子公司C</v>
      </c>
      <c r="B88" s="2" t="str">
        <v>2025-03</v>
      </c>
      <c r="C88" s="2" t="str">
        <v>经营性现金流量净额</v>
      </c>
      <c r="D88" s="2" t="str">
        <v>万元</v>
      </c>
      <c r="E88" s="7" t="n">
        <v>154.01</v>
      </c>
      <c r="F88" s="7"/>
      <c r="G88" s="8"/>
      <c r="H88" s="7" t="n">
        <v>174.63</v>
      </c>
      <c r="I88" s="8" t="n">
        <v>15.699494949494948</v>
      </c>
    </row>
    <row r="89" ht="23" customHeight="1">
      <c r="A89" s="2" t="str">
        <v>子公司C</v>
      </c>
      <c r="B89" s="2" t="str">
        <v>2025-03</v>
      </c>
      <c r="C89" s="2" t="str">
        <v>资产负债率</v>
      </c>
      <c r="D89" s="2" t="str">
        <v>%</v>
      </c>
      <c r="E89" s="3" t="n">
        <v>46.87</v>
      </c>
      <c r="F89" s="3"/>
      <c r="G89" s="8"/>
      <c r="H89" s="3" t="n">
        <v>46.87</v>
      </c>
      <c r="I89" s="8" t="n">
        <v>-0.009718994295372933</v>
      </c>
    </row>
    <row r="90" ht="23" customHeight="1">
      <c r="A90" s="2" t="str">
        <v>子公司C</v>
      </c>
      <c r="B90" s="2" t="str">
        <v>2025-03</v>
      </c>
      <c r="C90" s="2" t="str">
        <v>净资产收益率</v>
      </c>
      <c r="D90" s="2" t="str">
        <v>%</v>
      </c>
      <c r="E90" s="3" t="n">
        <v>5.01</v>
      </c>
      <c r="F90" s="3"/>
      <c r="G90" s="8"/>
      <c r="H90" s="3" t="n">
        <v>1.94</v>
      </c>
      <c r="I90" s="8" t="n">
        <v>0.3472222222222222</v>
      </c>
    </row>
    <row r="91" ht="23" customHeight="1">
      <c r="A91" s="2" t="str">
        <v>子公司C</v>
      </c>
      <c r="B91" s="2" t="str">
        <v>2025-03</v>
      </c>
      <c r="C91" s="2" t="str">
        <v>新签收入合同金额</v>
      </c>
      <c r="D91" s="2" t="str">
        <v>万元</v>
      </c>
      <c r="E91" s="7" t="n">
        <v>1872.3</v>
      </c>
      <c r="F91" s="7"/>
      <c r="G91" s="8"/>
      <c r="H91" s="7" t="n">
        <v>784.26</v>
      </c>
      <c r="I91" s="8" t="n">
        <v>0.5940243902439024</v>
      </c>
    </row>
    <row r="92" ht="23" customHeight="1">
      <c r="A92" s="2" t="str">
        <v>集团公司（合并）</v>
      </c>
      <c r="B92" s="2" t="str">
        <v>2025-04</v>
      </c>
      <c r="C92" s="2" t="str">
        <v>营业总收入</v>
      </c>
      <c r="D92" s="2" t="str">
        <v>万元</v>
      </c>
      <c r="E92" s="7" t="n">
        <v>15065.37</v>
      </c>
      <c r="F92" s="7"/>
      <c r="G92" s="8"/>
      <c r="H92" s="7" t="n">
        <v>4059.64</v>
      </c>
      <c r="I92" s="8" t="n">
        <v>-0.09021966644405707</v>
      </c>
    </row>
    <row r="93" ht="23" customHeight="1">
      <c r="A93" s="2" t="str">
        <v>集团公司（合并）</v>
      </c>
      <c r="B93" s="2" t="str">
        <v>2025-04</v>
      </c>
      <c r="C93" s="2" t="str">
        <v>利润总额</v>
      </c>
      <c r="D93" s="2" t="str">
        <v>万元</v>
      </c>
      <c r="E93" s="7" t="n">
        <v>1874.64</v>
      </c>
      <c r="F93" s="7"/>
      <c r="G93" s="8"/>
      <c r="H93" s="7" t="n">
        <v>491.85</v>
      </c>
      <c r="I93" s="8" t="n">
        <v>-0.11818491492909257</v>
      </c>
    </row>
    <row r="94" ht="23" customHeight="1">
      <c r="A94" s="2" t="str">
        <v>集团公司（合并）</v>
      </c>
      <c r="B94" s="2" t="str">
        <v>2025-04</v>
      </c>
      <c r="C94" s="2" t="str">
        <v>经营性现金流量净额</v>
      </c>
      <c r="D94" s="2" t="str">
        <v>万元</v>
      </c>
      <c r="E94" s="7" t="n">
        <v>1245.07</v>
      </c>
      <c r="F94" s="7"/>
      <c r="G94" s="8"/>
      <c r="H94" s="7" t="n">
        <v>394.99</v>
      </c>
      <c r="I94" s="8" t="n">
        <v>-0.6435719506582807</v>
      </c>
    </row>
    <row r="95" ht="23" customHeight="1">
      <c r="A95" s="2" t="str">
        <v>集团公司（合并）</v>
      </c>
      <c r="B95" s="2" t="str">
        <v>2025-04</v>
      </c>
      <c r="C95" s="2" t="str">
        <v>资产负债率</v>
      </c>
      <c r="D95" s="2" t="str">
        <v>%</v>
      </c>
      <c r="E95" s="3" t="n">
        <v>58</v>
      </c>
      <c r="F95" s="3"/>
      <c r="G95" s="8"/>
      <c r="H95" s="3" t="n">
        <v>58</v>
      </c>
      <c r="I95" s="8" t="n">
        <v>-0.006509078451524538</v>
      </c>
    </row>
    <row r="96" ht="23" customHeight="1">
      <c r="A96" s="2" t="str">
        <v>集团公司（合并）</v>
      </c>
      <c r="B96" s="2" t="str">
        <v>2025-04</v>
      </c>
      <c r="C96" s="2" t="str">
        <v>净资产收益率</v>
      </c>
      <c r="D96" s="2" t="str">
        <v>%</v>
      </c>
      <c r="E96" s="3" t="n">
        <v>6.52</v>
      </c>
      <c r="F96" s="3"/>
      <c r="G96" s="8"/>
      <c r="H96" s="3" t="n">
        <v>1.67</v>
      </c>
      <c r="I96" s="8" t="n">
        <v>-0.13471502590673576</v>
      </c>
    </row>
    <row r="97" ht="23" customHeight="1">
      <c r="A97" s="2" t="str">
        <v>集团公司（合并）</v>
      </c>
      <c r="B97" s="2" t="str">
        <v>2025-04</v>
      </c>
      <c r="C97" s="2" t="str">
        <v>新签收入合同金额</v>
      </c>
      <c r="D97" s="2" t="str">
        <v>万元</v>
      </c>
      <c r="E97" s="7" t="n">
        <v>18447.44</v>
      </c>
      <c r="F97" s="7"/>
      <c r="G97" s="8"/>
      <c r="H97" s="7" t="n">
        <v>4424.04</v>
      </c>
      <c r="I97" s="8" t="n">
        <v>-0.2910760355740726</v>
      </c>
    </row>
    <row r="98" ht="23" customHeight="1">
      <c r="A98" s="2" t="str">
        <v>集团公司（本部）</v>
      </c>
      <c r="B98" s="2" t="str">
        <v>2025-04</v>
      </c>
      <c r="C98" s="2" t="str">
        <v>营业总收入</v>
      </c>
      <c r="D98" s="2" t="str">
        <v>万元</v>
      </c>
      <c r="E98" s="7" t="n">
        <v>6623.34</v>
      </c>
      <c r="F98" s="7"/>
      <c r="G98" s="8"/>
      <c r="H98" s="7" t="n">
        <v>1769.14</v>
      </c>
      <c r="I98" s="8" t="n">
        <v>-0.10583109682440998</v>
      </c>
    </row>
    <row r="99" ht="23" customHeight="1">
      <c r="A99" s="2" t="str">
        <v>集团公司（本部）</v>
      </c>
      <c r="B99" s="2" t="str">
        <v>2025-04</v>
      </c>
      <c r="C99" s="2" t="str">
        <v>利润总额</v>
      </c>
      <c r="D99" s="2" t="str">
        <v>万元</v>
      </c>
      <c r="E99" s="7" t="n">
        <v>748.13</v>
      </c>
      <c r="F99" s="7"/>
      <c r="G99" s="8"/>
      <c r="H99" s="7" t="n">
        <v>204.09</v>
      </c>
      <c r="I99" s="8" t="n">
        <v>-0.11702864065068783</v>
      </c>
    </row>
    <row r="100" ht="23" customHeight="1">
      <c r="A100" s="2" t="str">
        <v>集团公司（本部）</v>
      </c>
      <c r="B100" s="2" t="str">
        <v>2025-04</v>
      </c>
      <c r="C100" s="2" t="str">
        <v>经营性现金流量净额</v>
      </c>
      <c r="D100" s="2" t="str">
        <v>万元</v>
      </c>
      <c r="E100" s="7" t="n">
        <v>447.55</v>
      </c>
      <c r="F100" s="7"/>
      <c r="G100" s="8"/>
      <c r="H100" s="7" t="n">
        <v>151.84</v>
      </c>
      <c r="I100" s="8" t="n">
        <v>-0.6591312156246493</v>
      </c>
    </row>
    <row r="101" ht="23" customHeight="1">
      <c r="A101" s="2" t="str">
        <v>集团公司（本部）</v>
      </c>
      <c r="B101" s="2" t="str">
        <v>2025-04</v>
      </c>
      <c r="C101" s="2" t="str">
        <v>资产负债率</v>
      </c>
      <c r="D101" s="2" t="str">
        <v>%</v>
      </c>
      <c r="E101" s="3" t="n">
        <v>56.95</v>
      </c>
      <c r="F101" s="3"/>
      <c r="G101" s="8"/>
      <c r="H101" s="3" t="n">
        <v>56.95</v>
      </c>
      <c r="I101" s="8" t="n">
        <v>-0.0050663871418588245</v>
      </c>
    </row>
    <row r="102" ht="23" customHeight="1">
      <c r="A102" s="2" t="str">
        <v>集团公司（本部）</v>
      </c>
      <c r="B102" s="2" t="str">
        <v>2025-04</v>
      </c>
      <c r="C102" s="2" t="str">
        <v>净资产收益率</v>
      </c>
      <c r="D102" s="2" t="str">
        <v>%</v>
      </c>
      <c r="E102" s="3" t="n">
        <v>5.2</v>
      </c>
      <c r="F102" s="3"/>
      <c r="G102" s="8"/>
      <c r="H102" s="3" t="n">
        <v>1.39</v>
      </c>
      <c r="I102" s="8" t="n">
        <v>-0.13125000000000012</v>
      </c>
    </row>
    <row r="103" ht="23" customHeight="1">
      <c r="A103" s="2" t="str">
        <v>集团公司（本部）</v>
      </c>
      <c r="B103" s="2" t="str">
        <v>2025-04</v>
      </c>
      <c r="C103" s="2" t="str">
        <v>新签收入合同金额</v>
      </c>
      <c r="D103" s="2" t="str">
        <v>万元</v>
      </c>
      <c r="E103" s="7" t="n">
        <v>8385.48</v>
      </c>
      <c r="F103" s="7"/>
      <c r="G103" s="8"/>
      <c r="H103" s="7" t="n">
        <v>2117.93</v>
      </c>
      <c r="I103" s="8" t="n">
        <v>-0.2912331545182871</v>
      </c>
    </row>
    <row r="104" ht="23" customHeight="1">
      <c r="A104" s="2" t="str">
        <v>子公司A</v>
      </c>
      <c r="B104" s="2" t="str">
        <v>2025-04</v>
      </c>
      <c r="C104" s="2" t="str">
        <v>营业总收入</v>
      </c>
      <c r="D104" s="2" t="str">
        <v>万元</v>
      </c>
      <c r="E104" s="7" t="n">
        <v>3883.35</v>
      </c>
      <c r="F104" s="7"/>
      <c r="G104" s="8"/>
      <c r="H104" s="7" t="n">
        <v>1039.9</v>
      </c>
      <c r="I104" s="8" t="n">
        <v>-0.09151268946839644</v>
      </c>
    </row>
    <row r="105" ht="23" customHeight="1">
      <c r="A105" s="2" t="str">
        <v>子公司A</v>
      </c>
      <c r="B105" s="2" t="str">
        <v>2025-04</v>
      </c>
      <c r="C105" s="2" t="str">
        <v>利润总额</v>
      </c>
      <c r="D105" s="2" t="str">
        <v>万元</v>
      </c>
      <c r="E105" s="7" t="n">
        <v>490.57</v>
      </c>
      <c r="F105" s="7"/>
      <c r="G105" s="8"/>
      <c r="H105" s="7" t="n">
        <v>124.27</v>
      </c>
      <c r="I105" s="8" t="n">
        <v>-0.14585194858753187</v>
      </c>
    </row>
    <row r="106" ht="23" customHeight="1">
      <c r="A106" s="2" t="str">
        <v>子公司A</v>
      </c>
      <c r="B106" s="2" t="str">
        <v>2025-04</v>
      </c>
      <c r="C106" s="2" t="str">
        <v>经营性现金流量净额</v>
      </c>
      <c r="D106" s="2" t="str">
        <v>万元</v>
      </c>
      <c r="E106" s="7" t="n">
        <v>305.33</v>
      </c>
      <c r="F106" s="7"/>
      <c r="G106" s="8"/>
      <c r="H106" s="7" t="n">
        <v>93.12</v>
      </c>
      <c r="I106" s="8" t="n">
        <v>-0.6529258292955646</v>
      </c>
    </row>
    <row r="107" ht="23" customHeight="1">
      <c r="A107" s="2" t="str">
        <v>子公司A</v>
      </c>
      <c r="B107" s="2" t="str">
        <v>2025-04</v>
      </c>
      <c r="C107" s="2" t="str">
        <v>资产负债率</v>
      </c>
      <c r="D107" s="2" t="str">
        <v>%</v>
      </c>
      <c r="E107" s="3" t="n">
        <v>60.49</v>
      </c>
      <c r="F107" s="3"/>
      <c r="G107" s="8"/>
      <c r="H107" s="3" t="n">
        <v>60.49</v>
      </c>
      <c r="I107" s="8" t="n">
        <v>-0.006569223189357835</v>
      </c>
    </row>
    <row r="108" ht="23" customHeight="1">
      <c r="A108" s="2" t="str">
        <v>子公司A</v>
      </c>
      <c r="B108" s="2" t="str">
        <v>2025-04</v>
      </c>
      <c r="C108" s="2" t="str">
        <v>净资产收益率</v>
      </c>
      <c r="D108" s="2" t="str">
        <v>%</v>
      </c>
      <c r="E108" s="3" t="n">
        <v>7.18</v>
      </c>
      <c r="F108" s="3"/>
      <c r="G108" s="8"/>
      <c r="H108" s="3" t="n">
        <v>1.77</v>
      </c>
      <c r="I108" s="8" t="n">
        <v>-0.16113744075829378</v>
      </c>
    </row>
    <row r="109" ht="23" customHeight="1">
      <c r="A109" s="2" t="str">
        <v>子公司A</v>
      </c>
      <c r="B109" s="2" t="str">
        <v>2025-04</v>
      </c>
      <c r="C109" s="2" t="str">
        <v>新签收入合同金额</v>
      </c>
      <c r="D109" s="2" t="str">
        <v>万元</v>
      </c>
      <c r="E109" s="7" t="n">
        <v>4788.06</v>
      </c>
      <c r="F109" s="7"/>
      <c r="G109" s="8"/>
      <c r="H109" s="7" t="n">
        <v>1074.14</v>
      </c>
      <c r="I109" s="8" t="n">
        <v>-0.33328367751025695</v>
      </c>
    </row>
    <row r="110" ht="23" customHeight="1">
      <c r="A110" s="2" t="str">
        <v>子公司B</v>
      </c>
      <c r="B110" s="2" t="str">
        <v>2025-04</v>
      </c>
      <c r="C110" s="2" t="str">
        <v>营业总收入</v>
      </c>
      <c r="D110" s="2" t="str">
        <v>万元</v>
      </c>
      <c r="E110" s="7" t="n">
        <v>3164.15</v>
      </c>
      <c r="F110" s="7"/>
      <c r="G110" s="8"/>
      <c r="H110" s="7" t="n">
        <v>860.11</v>
      </c>
      <c r="I110" s="8" t="n">
        <v>-0.07287759237701032</v>
      </c>
    </row>
    <row r="111" ht="23" customHeight="1">
      <c r="A111" s="2" t="str">
        <v>子公司B</v>
      </c>
      <c r="B111" s="2" t="str">
        <v>2025-04</v>
      </c>
      <c r="C111" s="2" t="str">
        <v>利润总额</v>
      </c>
      <c r="D111" s="2" t="str">
        <v>万元</v>
      </c>
      <c r="E111" s="7" t="n">
        <v>420.7</v>
      </c>
      <c r="F111" s="7"/>
      <c r="G111" s="8"/>
      <c r="H111" s="7" t="n">
        <v>105.95</v>
      </c>
      <c r="I111" s="8" t="n">
        <v>-0.12103865936618552</v>
      </c>
    </row>
    <row r="112" ht="23" customHeight="1">
      <c r="A112" s="2" t="str">
        <v>子公司B</v>
      </c>
      <c r="B112" s="2" t="str">
        <v>2025-04</v>
      </c>
      <c r="C112" s="2" t="str">
        <v>经营性现金流量净额</v>
      </c>
      <c r="D112" s="2" t="str">
        <v>万元</v>
      </c>
      <c r="E112" s="7" t="n">
        <v>268.02</v>
      </c>
      <c r="F112" s="7"/>
      <c r="G112" s="8"/>
      <c r="H112" s="7" t="n">
        <v>79.87</v>
      </c>
      <c r="I112" s="8" t="n">
        <v>-0.636640735180383</v>
      </c>
    </row>
    <row r="113" ht="23" customHeight="1">
      <c r="A113" s="2" t="str">
        <v>子公司B</v>
      </c>
      <c r="B113" s="2" t="str">
        <v>2025-04</v>
      </c>
      <c r="C113" s="2" t="str">
        <v>资产负债率</v>
      </c>
      <c r="D113" s="2" t="str">
        <v>%</v>
      </c>
      <c r="E113" s="3" t="n">
        <v>53.42</v>
      </c>
      <c r="F113" s="3"/>
      <c r="G113" s="8"/>
      <c r="H113" s="3" t="n">
        <v>53.42</v>
      </c>
      <c r="I113" s="8" t="n">
        <v>-0.007616570685491299</v>
      </c>
    </row>
    <row r="114" ht="23" customHeight="1">
      <c r="A114" s="2" t="str">
        <v>子公司B</v>
      </c>
      <c r="B114" s="2" t="str">
        <v>2025-04</v>
      </c>
      <c r="C114" s="2" t="str">
        <v>净资产收益率</v>
      </c>
      <c r="D114" s="2" t="str">
        <v>%</v>
      </c>
      <c r="E114" s="3" t="n">
        <v>7.12</v>
      </c>
      <c r="F114" s="3"/>
      <c r="G114" s="8"/>
      <c r="H114" s="3" t="n">
        <v>1.75</v>
      </c>
      <c r="I114" s="8" t="n">
        <v>-0.13366336633663367</v>
      </c>
    </row>
    <row r="115" ht="23" customHeight="1">
      <c r="A115" s="2" t="str">
        <v>子公司B</v>
      </c>
      <c r="B115" s="2" t="str">
        <v>2025-04</v>
      </c>
      <c r="C115" s="2" t="str">
        <v>新签收入合同金额</v>
      </c>
      <c r="D115" s="2" t="str">
        <v>万元</v>
      </c>
      <c r="E115" s="7" t="n">
        <v>3536.76</v>
      </c>
      <c r="F115" s="7"/>
      <c r="G115" s="8"/>
      <c r="H115" s="7" t="n">
        <v>782.82</v>
      </c>
      <c r="I115" s="8" t="n">
        <v>-0.29916381672008446</v>
      </c>
    </row>
    <row r="116" ht="23" customHeight="1">
      <c r="A116" s="2" t="str">
        <v>子公司C</v>
      </c>
      <c r="B116" s="2" t="str">
        <v>2025-04</v>
      </c>
      <c r="C116" s="2" t="str">
        <v>营业总收入</v>
      </c>
      <c r="D116" s="2" t="str">
        <v>万元</v>
      </c>
      <c r="E116" s="7" t="n">
        <v>2441.85</v>
      </c>
      <c r="F116" s="7"/>
      <c r="G116" s="8"/>
      <c r="H116" s="7" t="n">
        <v>672.71</v>
      </c>
      <c r="I116" s="8" t="n">
        <v>-0.06766177428519943</v>
      </c>
    </row>
    <row r="117" ht="23" customHeight="1">
      <c r="A117" s="2" t="str">
        <v>子公司C</v>
      </c>
      <c r="B117" s="2" t="str">
        <v>2025-04</v>
      </c>
      <c r="C117" s="2" t="str">
        <v>利润总额</v>
      </c>
      <c r="D117" s="2" t="str">
        <v>万元</v>
      </c>
      <c r="E117" s="7" t="n">
        <v>340.93</v>
      </c>
      <c r="F117" s="7"/>
      <c r="G117" s="8"/>
      <c r="H117" s="7" t="n">
        <v>91.41</v>
      </c>
      <c r="I117" s="8" t="n">
        <v>-0.06562404170499848</v>
      </c>
    </row>
    <row r="118" ht="23" customHeight="1">
      <c r="A118" s="2" t="str">
        <v>子公司C</v>
      </c>
      <c r="B118" s="2" t="str">
        <v>2025-04</v>
      </c>
      <c r="C118" s="2" t="str">
        <v>经营性现金流量净额</v>
      </c>
      <c r="D118" s="2" t="str">
        <v>万元</v>
      </c>
      <c r="E118" s="7" t="n">
        <v>224.17</v>
      </c>
      <c r="F118" s="7"/>
      <c r="G118" s="8"/>
      <c r="H118" s="7" t="n">
        <v>70.16</v>
      </c>
      <c r="I118" s="8" t="n">
        <v>-0.5982362709729142</v>
      </c>
    </row>
    <row r="119" ht="23" customHeight="1">
      <c r="A119" s="2" t="str">
        <v>子公司C</v>
      </c>
      <c r="B119" s="2" t="str">
        <v>2025-04</v>
      </c>
      <c r="C119" s="2" t="str">
        <v>资产负债率</v>
      </c>
      <c r="D119" s="2" t="str">
        <v>%</v>
      </c>
      <c r="E119" s="3" t="n">
        <v>46.49</v>
      </c>
      <c r="F119" s="3"/>
      <c r="G119" s="8"/>
      <c r="H119" s="3" t="n">
        <v>46.49</v>
      </c>
      <c r="I119" s="8" t="n">
        <v>-0.008107531470023372</v>
      </c>
    </row>
    <row r="120" ht="23" customHeight="1">
      <c r="A120" s="2" t="str">
        <v>子公司C</v>
      </c>
      <c r="B120" s="2" t="str">
        <v>2025-04</v>
      </c>
      <c r="C120" s="2" t="str">
        <v>净资产收益率</v>
      </c>
      <c r="D120" s="2" t="str">
        <v>%</v>
      </c>
      <c r="E120" s="3" t="n">
        <v>6.79</v>
      </c>
      <c r="F120" s="3"/>
      <c r="G120" s="8"/>
      <c r="H120" s="3" t="n">
        <v>1.78</v>
      </c>
      <c r="I120" s="8" t="n">
        <v>-0.08247422680412367</v>
      </c>
    </row>
    <row r="121" ht="23" customHeight="1">
      <c r="A121" s="2" t="str">
        <v>子公司C</v>
      </c>
      <c r="B121" s="2" t="str">
        <v>2025-04</v>
      </c>
      <c r="C121" s="2" t="str">
        <v>新签收入合同金额</v>
      </c>
      <c r="D121" s="2" t="str">
        <v>万元</v>
      </c>
      <c r="E121" s="7" t="n">
        <v>2505.78</v>
      </c>
      <c r="F121" s="7"/>
      <c r="G121" s="8"/>
      <c r="H121" s="7" t="n">
        <v>633.48</v>
      </c>
      <c r="I121" s="8" t="n">
        <v>-0.19225766965037103</v>
      </c>
    </row>
    <row r="122" ht="23" customHeight="1">
      <c r="A122" s="2" t="str">
        <v>集团公司（合并）</v>
      </c>
      <c r="B122" s="2" t="str">
        <v>2025-05</v>
      </c>
      <c r="C122" s="2" t="str">
        <v>营业总收入</v>
      </c>
      <c r="D122" s="2" t="str">
        <v>万元</v>
      </c>
      <c r="E122" s="7" t="n">
        <v>19357.99</v>
      </c>
      <c r="F122" s="7"/>
      <c r="G122" s="8"/>
      <c r="H122" s="7" t="n">
        <v>4292.62</v>
      </c>
      <c r="I122" s="8" t="n">
        <v>0.057389325161837014</v>
      </c>
    </row>
    <row r="123" ht="23" customHeight="1">
      <c r="A123" s="2" t="str">
        <v>集团公司（合并）</v>
      </c>
      <c r="B123" s="2" t="str">
        <v>2025-05</v>
      </c>
      <c r="C123" s="2" t="str">
        <v>利润总额</v>
      </c>
      <c r="D123" s="2" t="str">
        <v>万元</v>
      </c>
      <c r="E123" s="7" t="n">
        <v>2376.09</v>
      </c>
      <c r="F123" s="7"/>
      <c r="G123" s="8"/>
      <c r="H123" s="7" t="n">
        <v>501.45</v>
      </c>
      <c r="I123" s="8" t="n">
        <v>0.019518145776151196</v>
      </c>
    </row>
    <row r="124" ht="23" customHeight="1">
      <c r="A124" s="2" t="str">
        <v>集团公司（合并）</v>
      </c>
      <c r="B124" s="2" t="str">
        <v>2025-05</v>
      </c>
      <c r="C124" s="2" t="str">
        <v>经营性现金流量净额</v>
      </c>
      <c r="D124" s="2" t="str">
        <v>万元</v>
      </c>
      <c r="E124" s="7" t="n">
        <v>1645.97</v>
      </c>
      <c r="F124" s="7"/>
      <c r="G124" s="8"/>
      <c r="H124" s="7" t="n">
        <v>400.9</v>
      </c>
      <c r="I124" s="8" t="n">
        <v>0.014962404111496413</v>
      </c>
    </row>
    <row r="125" ht="23" customHeight="1">
      <c r="A125" s="2" t="str">
        <v>集团公司（合并）</v>
      </c>
      <c r="B125" s="2" t="str">
        <v>2025-05</v>
      </c>
      <c r="C125" s="2" t="str">
        <v>资产负债率</v>
      </c>
      <c r="D125" s="2" t="str">
        <v>%</v>
      </c>
      <c r="E125" s="3" t="n">
        <v>57.61</v>
      </c>
      <c r="F125" s="3"/>
      <c r="G125" s="8"/>
      <c r="H125" s="3" t="n">
        <v>57.61</v>
      </c>
      <c r="I125" s="8" t="n">
        <v>-0.006724137931034492</v>
      </c>
    </row>
    <row r="126" ht="23" customHeight="1">
      <c r="A126" s="2" t="str">
        <v>集团公司（合并）</v>
      </c>
      <c r="B126" s="2" t="str">
        <v>2025-05</v>
      </c>
      <c r="C126" s="2" t="str">
        <v>净资产收益率</v>
      </c>
      <c r="D126" s="2" t="str">
        <v>%</v>
      </c>
      <c r="E126" s="3" t="n">
        <v>8.2</v>
      </c>
      <c r="F126" s="3"/>
      <c r="G126" s="8"/>
      <c r="H126" s="3" t="n">
        <v>1.68</v>
      </c>
      <c r="I126" s="8" t="n">
        <v>0.005988023952095814</v>
      </c>
    </row>
    <row r="127" ht="23" customHeight="1">
      <c r="A127" s="2" t="str">
        <v>集团公司（合并）</v>
      </c>
      <c r="B127" s="2" t="str">
        <v>2025-05</v>
      </c>
      <c r="C127" s="2" t="str">
        <v>新签收入合同金额</v>
      </c>
      <c r="D127" s="2" t="str">
        <v>万元</v>
      </c>
      <c r="E127" s="7" t="n">
        <v>22869.22</v>
      </c>
      <c r="F127" s="7"/>
      <c r="G127" s="8"/>
      <c r="H127" s="7" t="n">
        <v>4421.78</v>
      </c>
      <c r="I127" s="8" t="n">
        <v>-0.0005108452907297895</v>
      </c>
    </row>
    <row r="128" ht="23" customHeight="1">
      <c r="A128" s="2" t="str">
        <v>集团公司（本部）</v>
      </c>
      <c r="B128" s="2" t="str">
        <v>2025-05</v>
      </c>
      <c r="C128" s="2" t="str">
        <v>营业总收入</v>
      </c>
      <c r="D128" s="2" t="str">
        <v>万元</v>
      </c>
      <c r="E128" s="7" t="n">
        <v>8483.23</v>
      </c>
      <c r="F128" s="7"/>
      <c r="G128" s="8"/>
      <c r="H128" s="7" t="n">
        <v>1859.89</v>
      </c>
      <c r="I128" s="8" t="n">
        <v>0.05129610997433781</v>
      </c>
    </row>
    <row r="129" ht="23" customHeight="1">
      <c r="A129" s="2" t="str">
        <v>集团公司（本部）</v>
      </c>
      <c r="B129" s="2" t="str">
        <v>2025-05</v>
      </c>
      <c r="C129" s="2" t="str">
        <v>利润总额</v>
      </c>
      <c r="D129" s="2" t="str">
        <v>万元</v>
      </c>
      <c r="E129" s="7" t="n">
        <v>950.89</v>
      </c>
      <c r="F129" s="7"/>
      <c r="G129" s="8"/>
      <c r="H129" s="7" t="n">
        <v>202.76</v>
      </c>
      <c r="I129" s="8" t="n">
        <v>-0.006516732813954689</v>
      </c>
    </row>
    <row r="130" ht="23" customHeight="1">
      <c r="A130" s="2" t="str">
        <v>集团公司（本部）</v>
      </c>
      <c r="B130" s="2" t="str">
        <v>2025-05</v>
      </c>
      <c r="C130" s="2" t="str">
        <v>经营性现金流量净额</v>
      </c>
      <c r="D130" s="2" t="str">
        <v>万元</v>
      </c>
      <c r="E130" s="7" t="n">
        <v>596.56</v>
      </c>
      <c r="F130" s="7"/>
      <c r="G130" s="8"/>
      <c r="H130" s="7" t="n">
        <v>149.01</v>
      </c>
      <c r="I130" s="8" t="n">
        <v>-0.018638040042149712</v>
      </c>
    </row>
    <row r="131" ht="23" customHeight="1">
      <c r="A131" s="2" t="str">
        <v>集团公司（本部）</v>
      </c>
      <c r="B131" s="2" t="str">
        <v>2025-05</v>
      </c>
      <c r="C131" s="2" t="str">
        <v>资产负债率</v>
      </c>
      <c r="D131" s="2" t="str">
        <v>%</v>
      </c>
      <c r="E131" s="3" t="n">
        <v>56.64</v>
      </c>
      <c r="F131" s="3"/>
      <c r="G131" s="8"/>
      <c r="H131" s="3" t="n">
        <v>56.64</v>
      </c>
      <c r="I131" s="8" t="n">
        <v>-0.005443371378402147</v>
      </c>
    </row>
    <row r="132" ht="23" customHeight="1">
      <c r="A132" s="2" t="str">
        <v>集团公司（本部）</v>
      </c>
      <c r="B132" s="2" t="str">
        <v>2025-05</v>
      </c>
      <c r="C132" s="2" t="str">
        <v>净资产收益率</v>
      </c>
      <c r="D132" s="2" t="str">
        <v>%</v>
      </c>
      <c r="E132" s="3" t="n">
        <v>6.57</v>
      </c>
      <c r="F132" s="3"/>
      <c r="G132" s="8"/>
      <c r="H132" s="3" t="n">
        <v>1.37</v>
      </c>
      <c r="I132" s="8" t="n">
        <v>-0.014388489208632947</v>
      </c>
    </row>
    <row r="133" ht="23" customHeight="1">
      <c r="A133" s="2" t="str">
        <v>集团公司（本部）</v>
      </c>
      <c r="B133" s="2" t="str">
        <v>2025-05</v>
      </c>
      <c r="C133" s="2" t="str">
        <v>新签收入合同金额</v>
      </c>
      <c r="D133" s="2" t="str">
        <v>万元</v>
      </c>
      <c r="E133" s="7" t="n">
        <v>10371.29</v>
      </c>
      <c r="F133" s="7"/>
      <c r="G133" s="8"/>
      <c r="H133" s="7" t="n">
        <v>1985.81</v>
      </c>
      <c r="I133" s="8" t="n">
        <v>-0.06238166511641079</v>
      </c>
    </row>
    <row r="134" ht="23" customHeight="1">
      <c r="A134" s="2" t="str">
        <v>子公司A</v>
      </c>
      <c r="B134" s="2" t="str">
        <v>2025-05</v>
      </c>
      <c r="C134" s="2" t="str">
        <v>营业总收入</v>
      </c>
      <c r="D134" s="2" t="str">
        <v>万元</v>
      </c>
      <c r="E134" s="7" t="n">
        <v>4994.48</v>
      </c>
      <c r="F134" s="7"/>
      <c r="G134" s="8"/>
      <c r="H134" s="7" t="n">
        <v>1111.13</v>
      </c>
      <c r="I134" s="8" t="n">
        <v>0.06849697086258295</v>
      </c>
    </row>
    <row r="135" ht="23" customHeight="1">
      <c r="A135" s="2" t="str">
        <v>子公司A</v>
      </c>
      <c r="B135" s="2" t="str">
        <v>2025-05</v>
      </c>
      <c r="C135" s="2" t="str">
        <v>利润总额</v>
      </c>
      <c r="D135" s="2" t="str">
        <v>万元</v>
      </c>
      <c r="E135" s="7" t="n">
        <v>614.64</v>
      </c>
      <c r="F135" s="7"/>
      <c r="G135" s="8"/>
      <c r="H135" s="7" t="n">
        <v>124.07</v>
      </c>
      <c r="I135" s="8" t="n">
        <v>-0.0016093988895147892</v>
      </c>
    </row>
    <row r="136" ht="23" customHeight="1">
      <c r="A136" s="2" t="str">
        <v>子公司A</v>
      </c>
      <c r="B136" s="2" t="str">
        <v>2025-05</v>
      </c>
      <c r="C136" s="2" t="str">
        <v>经营性现金流量净额</v>
      </c>
      <c r="D136" s="2" t="str">
        <v>万元</v>
      </c>
      <c r="E136" s="7" t="n">
        <v>396.99</v>
      </c>
      <c r="F136" s="7"/>
      <c r="G136" s="8"/>
      <c r="H136" s="7" t="n">
        <v>91.66</v>
      </c>
      <c r="I136" s="8" t="n">
        <v>-0.015678694158075684</v>
      </c>
    </row>
    <row r="137" ht="23" customHeight="1">
      <c r="A137" s="2" t="str">
        <v>子公司A</v>
      </c>
      <c r="B137" s="2" t="str">
        <v>2025-05</v>
      </c>
      <c r="C137" s="2" t="str">
        <v>资产负债率</v>
      </c>
      <c r="D137" s="2" t="str">
        <v>%</v>
      </c>
      <c r="E137" s="3" t="n">
        <v>60.09</v>
      </c>
      <c r="F137" s="3"/>
      <c r="G137" s="8"/>
      <c r="H137" s="3" t="n">
        <v>60.09</v>
      </c>
      <c r="I137" s="8" t="n">
        <v>-0.006612663250123964</v>
      </c>
    </row>
    <row r="138" ht="23" customHeight="1">
      <c r="A138" s="2" t="str">
        <v>子公司A</v>
      </c>
      <c r="B138" s="2" t="str">
        <v>2025-05</v>
      </c>
      <c r="C138" s="2" t="str">
        <v>净资产收益率</v>
      </c>
      <c r="D138" s="2" t="str">
        <v>%</v>
      </c>
      <c r="E138" s="3" t="n">
        <v>8.92</v>
      </c>
      <c r="F138" s="3"/>
      <c r="G138" s="8"/>
      <c r="H138" s="3" t="n">
        <v>1.74</v>
      </c>
      <c r="I138" s="8" t="n">
        <v>-0.016949152542372895</v>
      </c>
    </row>
    <row r="139" ht="23" customHeight="1">
      <c r="A139" s="2" t="str">
        <v>子公司A</v>
      </c>
      <c r="B139" s="2" t="str">
        <v>2025-05</v>
      </c>
      <c r="C139" s="2" t="str">
        <v>新签收入合同金额</v>
      </c>
      <c r="D139" s="2" t="str">
        <v>万元</v>
      </c>
      <c r="E139" s="7" t="n">
        <v>5815.03</v>
      </c>
      <c r="F139" s="7"/>
      <c r="G139" s="8"/>
      <c r="H139" s="7" t="n">
        <v>1026.97</v>
      </c>
      <c r="I139" s="8" t="n">
        <v>-0.0439142011283446</v>
      </c>
    </row>
    <row r="140" ht="23" customHeight="1">
      <c r="A140" s="2" t="str">
        <v>子公司B</v>
      </c>
      <c r="B140" s="2" t="str">
        <v>2025-05</v>
      </c>
      <c r="C140" s="2" t="str">
        <v>营业总收入</v>
      </c>
      <c r="D140" s="2" t="str">
        <v>万元</v>
      </c>
      <c r="E140" s="7" t="n">
        <v>4080.67</v>
      </c>
      <c r="F140" s="7"/>
      <c r="G140" s="8"/>
      <c r="H140" s="7" t="n">
        <v>916.52</v>
      </c>
      <c r="I140" s="8" t="n">
        <v>0.06558463452349114</v>
      </c>
    </row>
    <row r="141" ht="23" customHeight="1">
      <c r="A141" s="2" t="str">
        <v>子公司B</v>
      </c>
      <c r="B141" s="2" t="str">
        <v>2025-05</v>
      </c>
      <c r="C141" s="2" t="str">
        <v>利润总额</v>
      </c>
      <c r="D141" s="2" t="str">
        <v>万元</v>
      </c>
      <c r="E141" s="7" t="n">
        <v>531.64</v>
      </c>
      <c r="F141" s="7"/>
      <c r="G141" s="8"/>
      <c r="H141" s="7" t="n">
        <v>110.94</v>
      </c>
      <c r="I141" s="8" t="n">
        <v>0.047097687588485086</v>
      </c>
    </row>
    <row r="142" ht="23" customHeight="1">
      <c r="A142" s="2" t="str">
        <v>子公司B</v>
      </c>
      <c r="B142" s="2" t="str">
        <v>2025-05</v>
      </c>
      <c r="C142" s="2" t="str">
        <v>经营性现金流量净额</v>
      </c>
      <c r="D142" s="2" t="str">
        <v>万元</v>
      </c>
      <c r="E142" s="7" t="n">
        <v>351.37</v>
      </c>
      <c r="F142" s="7"/>
      <c r="G142" s="8"/>
      <c r="H142" s="7" t="n">
        <v>83.35</v>
      </c>
      <c r="I142" s="8" t="n">
        <v>0.04357080255415036</v>
      </c>
    </row>
    <row r="143" ht="23" customHeight="1">
      <c r="A143" s="2" t="str">
        <v>子公司B</v>
      </c>
      <c r="B143" s="2" t="str">
        <v>2025-05</v>
      </c>
      <c r="C143" s="2" t="str">
        <v>资产负债率</v>
      </c>
      <c r="D143" s="2" t="str">
        <v>%</v>
      </c>
      <c r="E143" s="3" t="n">
        <v>53.03</v>
      </c>
      <c r="F143" s="3"/>
      <c r="G143" s="8"/>
      <c r="H143" s="3" t="n">
        <v>53.03</v>
      </c>
      <c r="I143" s="8" t="n">
        <v>-0.007300636465743178</v>
      </c>
    </row>
    <row r="144" ht="23" customHeight="1">
      <c r="A144" s="2" t="str">
        <v>子公司B</v>
      </c>
      <c r="B144" s="2" t="str">
        <v>2025-05</v>
      </c>
      <c r="C144" s="2" t="str">
        <v>净资产收益率</v>
      </c>
      <c r="D144" s="2" t="str">
        <v>%</v>
      </c>
      <c r="E144" s="3" t="n">
        <v>8.91</v>
      </c>
      <c r="F144" s="3"/>
      <c r="G144" s="8"/>
      <c r="H144" s="3" t="n">
        <v>1.8</v>
      </c>
      <c r="I144" s="8" t="n">
        <v>0.0285714285714286</v>
      </c>
    </row>
    <row r="145" ht="23" customHeight="1">
      <c r="A145" s="2" t="str">
        <v>子公司B</v>
      </c>
      <c r="B145" s="2" t="str">
        <v>2025-05</v>
      </c>
      <c r="C145" s="2" t="str">
        <v>新签收入合同金额</v>
      </c>
      <c r="D145" s="2" t="str">
        <v>万元</v>
      </c>
      <c r="E145" s="7" t="n">
        <v>4381.94</v>
      </c>
      <c r="F145" s="7"/>
      <c r="G145" s="8"/>
      <c r="H145" s="7" t="n">
        <v>845.18</v>
      </c>
      <c r="I145" s="8" t="n">
        <v>0.07966071382948813</v>
      </c>
    </row>
    <row r="146" ht="23" customHeight="1">
      <c r="A146" s="2" t="str">
        <v>子公司C</v>
      </c>
      <c r="B146" s="2" t="str">
        <v>2025-05</v>
      </c>
      <c r="C146" s="2" t="str">
        <v>营业总收入</v>
      </c>
      <c r="D146" s="2" t="str">
        <v>万元</v>
      </c>
      <c r="E146" s="7" t="n">
        <v>3145.35</v>
      </c>
      <c r="F146" s="7"/>
      <c r="G146" s="8"/>
      <c r="H146" s="7" t="n">
        <v>703.5</v>
      </c>
      <c r="I146" s="8" t="n">
        <v>0.04577009409701054</v>
      </c>
    </row>
    <row r="147" ht="23" customHeight="1">
      <c r="A147" s="2" t="str">
        <v>子公司C</v>
      </c>
      <c r="B147" s="2" t="str">
        <v>2025-05</v>
      </c>
      <c r="C147" s="2" t="str">
        <v>利润总额</v>
      </c>
      <c r="D147" s="2" t="str">
        <v>万元</v>
      </c>
      <c r="E147" s="7" t="n">
        <v>440.42</v>
      </c>
      <c r="F147" s="7"/>
      <c r="G147" s="8"/>
      <c r="H147" s="7" t="n">
        <v>99.49</v>
      </c>
      <c r="I147" s="8" t="n">
        <v>0.08839295481894759</v>
      </c>
    </row>
    <row r="148" ht="23" customHeight="1">
      <c r="A148" s="2" t="str">
        <v>子公司C</v>
      </c>
      <c r="B148" s="2" t="str">
        <v>2025-05</v>
      </c>
      <c r="C148" s="2" t="str">
        <v>经营性现金流量净额</v>
      </c>
      <c r="D148" s="2" t="str">
        <v>万元</v>
      </c>
      <c r="E148" s="7" t="n">
        <v>301.05</v>
      </c>
      <c r="F148" s="7"/>
      <c r="G148" s="8"/>
      <c r="H148" s="7" t="n">
        <v>76.88</v>
      </c>
      <c r="I148" s="8" t="n">
        <v>0.09578107183580387</v>
      </c>
    </row>
    <row r="149" ht="23" customHeight="1">
      <c r="A149" s="2" t="str">
        <v>子公司C</v>
      </c>
      <c r="B149" s="2" t="str">
        <v>2025-05</v>
      </c>
      <c r="C149" s="2" t="str">
        <v>资产负债率</v>
      </c>
      <c r="D149" s="2" t="str">
        <v>%</v>
      </c>
      <c r="E149" s="3" t="n">
        <v>46.13</v>
      </c>
      <c r="F149" s="3"/>
      <c r="G149" s="8"/>
      <c r="H149" s="3" t="n">
        <v>46.13</v>
      </c>
      <c r="I149" s="8" t="n">
        <v>-0.007743600774360065</v>
      </c>
    </row>
    <row r="150" ht="23" customHeight="1">
      <c r="A150" s="2" t="str">
        <v>子公司C</v>
      </c>
      <c r="B150" s="2" t="str">
        <v>2025-05</v>
      </c>
      <c r="C150" s="2" t="str">
        <v>净资产收益率</v>
      </c>
      <c r="D150" s="2" t="str">
        <v>%</v>
      </c>
      <c r="E150" s="3" t="n">
        <v>8.68</v>
      </c>
      <c r="F150" s="3"/>
      <c r="G150" s="8"/>
      <c r="H150" s="3" t="n">
        <v>1.9</v>
      </c>
      <c r="I150" s="8" t="n">
        <v>0.06741573033707858</v>
      </c>
    </row>
    <row r="151" ht="23" customHeight="1">
      <c r="A151" s="2" t="str">
        <v>子公司C</v>
      </c>
      <c r="B151" s="2" t="str">
        <v>2025-05</v>
      </c>
      <c r="C151" s="2" t="str">
        <v>新签收入合同金额</v>
      </c>
      <c r="D151" s="2" t="str">
        <v>万元</v>
      </c>
      <c r="E151" s="7" t="n">
        <v>3253.84</v>
      </c>
      <c r="F151" s="7"/>
      <c r="G151" s="8"/>
      <c r="H151" s="7" t="n">
        <v>748.06</v>
      </c>
      <c r="I151" s="8" t="n">
        <v>0.18087390288564742</v>
      </c>
    </row>
    <row r="152" ht="23" customHeight="1">
      <c r="A152" s="2" t="str">
        <v>集团公司（合并）</v>
      </c>
      <c r="B152" s="2" t="str">
        <v>2025-06</v>
      </c>
      <c r="C152" s="2" t="str">
        <v>营业总收入</v>
      </c>
      <c r="D152" s="2" t="str">
        <v>万元</v>
      </c>
      <c r="E152" s="7" t="n">
        <v>24300.55</v>
      </c>
      <c r="F152" s="7"/>
      <c r="G152" s="8"/>
      <c r="H152" s="7" t="n">
        <v>4942.56</v>
      </c>
      <c r="I152" s="8" t="n">
        <v>0.151408696786578</v>
      </c>
    </row>
    <row r="153" ht="23" customHeight="1">
      <c r="A153" s="2" t="str">
        <v>集团公司（合并）</v>
      </c>
      <c r="B153" s="2" t="str">
        <v>2025-06</v>
      </c>
      <c r="C153" s="2" t="str">
        <v>利润总额</v>
      </c>
      <c r="D153" s="2" t="str">
        <v>万元</v>
      </c>
      <c r="E153" s="7" t="n">
        <v>2939.07</v>
      </c>
      <c r="F153" s="7"/>
      <c r="G153" s="8"/>
      <c r="H153" s="7" t="n">
        <v>562.98</v>
      </c>
      <c r="I153" s="8" t="n">
        <v>0.12270415794196836</v>
      </c>
    </row>
    <row r="154" ht="23" customHeight="1">
      <c r="A154" s="2" t="str">
        <v>集团公司（合并）</v>
      </c>
      <c r="B154" s="2" t="str">
        <v>2025-06</v>
      </c>
      <c r="C154" s="2" t="str">
        <v>经营性现金流量净额</v>
      </c>
      <c r="D154" s="2" t="str">
        <v>万元</v>
      </c>
      <c r="E154" s="7" t="n">
        <v>2824.11</v>
      </c>
      <c r="F154" s="7"/>
      <c r="G154" s="8"/>
      <c r="H154" s="7" t="n">
        <v>1178.14</v>
      </c>
      <c r="I154" s="8" t="n">
        <v>1.9387378398603148</v>
      </c>
    </row>
    <row r="155" ht="23" customHeight="1">
      <c r="A155" s="2" t="str">
        <v>集团公司（合并）</v>
      </c>
      <c r="B155" s="2" t="str">
        <v>2025-06</v>
      </c>
      <c r="C155" s="2" t="str">
        <v>资产负债率</v>
      </c>
      <c r="D155" s="2" t="str">
        <v>%</v>
      </c>
      <c r="E155" s="3" t="n">
        <v>57.21</v>
      </c>
      <c r="F155" s="3"/>
      <c r="G155" s="8"/>
      <c r="H155" s="3" t="n">
        <v>57.21</v>
      </c>
      <c r="I155" s="8" t="n">
        <v>-0.006943239021003273</v>
      </c>
    </row>
    <row r="156" ht="23" customHeight="1">
      <c r="A156" s="2" t="str">
        <v>集团公司（合并）</v>
      </c>
      <c r="B156" s="2" t="str">
        <v>2025-06</v>
      </c>
      <c r="C156" s="2" t="str">
        <v>净资产收益率</v>
      </c>
      <c r="D156" s="2" t="str">
        <v>%</v>
      </c>
      <c r="E156" s="3" t="n">
        <v>10.04</v>
      </c>
      <c r="F156" s="3"/>
      <c r="G156" s="8"/>
      <c r="H156" s="3" t="n">
        <v>1.85</v>
      </c>
      <c r="I156" s="8" t="n">
        <v>0.10119047619047629</v>
      </c>
    </row>
    <row r="157" ht="23" customHeight="1">
      <c r="A157" s="2" t="str">
        <v>集团公司（合并）</v>
      </c>
      <c r="B157" s="2" t="str">
        <v>2025-06</v>
      </c>
      <c r="C157" s="2" t="str">
        <v>新签收入合同金额</v>
      </c>
      <c r="D157" s="2" t="str">
        <v>万元</v>
      </c>
      <c r="E157" s="7" t="n">
        <v>28915.56</v>
      </c>
      <c r="F157" s="7"/>
      <c r="G157" s="8"/>
      <c r="H157" s="7" t="n">
        <v>6046.34</v>
      </c>
      <c r="I157" s="8" t="n">
        <v>0.36739955402575447</v>
      </c>
    </row>
    <row r="158" ht="23" customHeight="1">
      <c r="A158" s="2" t="str">
        <v>集团公司（本部）</v>
      </c>
      <c r="B158" s="2" t="str">
        <v>2025-06</v>
      </c>
      <c r="C158" s="2" t="str">
        <v>营业总收入</v>
      </c>
      <c r="D158" s="2" t="str">
        <v>万元</v>
      </c>
      <c r="E158" s="7" t="n">
        <v>10657.89</v>
      </c>
      <c r="F158" s="7"/>
      <c r="G158" s="8"/>
      <c r="H158" s="7" t="n">
        <v>2174.66</v>
      </c>
      <c r="I158" s="8" t="n">
        <v>0.16924119168337898</v>
      </c>
    </row>
    <row r="159" ht="23" customHeight="1">
      <c r="A159" s="2" t="str">
        <v>集团公司（本部）</v>
      </c>
      <c r="B159" s="2" t="str">
        <v>2025-06</v>
      </c>
      <c r="C159" s="2" t="str">
        <v>利润总额</v>
      </c>
      <c r="D159" s="2" t="str">
        <v>万元</v>
      </c>
      <c r="E159" s="7" t="n">
        <v>1170.08</v>
      </c>
      <c r="F159" s="7"/>
      <c r="G159" s="8"/>
      <c r="H159" s="7" t="n">
        <v>219.19</v>
      </c>
      <c r="I159" s="8" t="n">
        <v>0.08103176168869604</v>
      </c>
    </row>
    <row r="160" ht="23" customHeight="1">
      <c r="A160" s="2" t="str">
        <v>集团公司（本部）</v>
      </c>
      <c r="B160" s="2" t="str">
        <v>2025-06</v>
      </c>
      <c r="C160" s="2" t="str">
        <v>经营性现金流量净额</v>
      </c>
      <c r="D160" s="2" t="str">
        <v>万元</v>
      </c>
      <c r="E160" s="7" t="n">
        <v>1054.79</v>
      </c>
      <c r="F160" s="7"/>
      <c r="G160" s="8"/>
      <c r="H160" s="7" t="n">
        <v>458.23</v>
      </c>
      <c r="I160" s="8" t="n">
        <v>2.0751627407556543</v>
      </c>
    </row>
    <row r="161" ht="23" customHeight="1">
      <c r="A161" s="2" t="str">
        <v>集团公司（本部）</v>
      </c>
      <c r="B161" s="2" t="str">
        <v>2025-06</v>
      </c>
      <c r="C161" s="2" t="str">
        <v>资产负债率</v>
      </c>
      <c r="D161" s="2" t="str">
        <v>%</v>
      </c>
      <c r="E161" s="3" t="n">
        <v>56.3</v>
      </c>
      <c r="F161" s="3"/>
      <c r="G161" s="8"/>
      <c r="H161" s="3" t="n">
        <v>56.3</v>
      </c>
      <c r="I161" s="8" t="n">
        <v>-0.006002824858757122</v>
      </c>
    </row>
    <row r="162" ht="23" customHeight="1">
      <c r="A162" s="2" t="str">
        <v>集团公司（本部）</v>
      </c>
      <c r="B162" s="2" t="str">
        <v>2025-06</v>
      </c>
      <c r="C162" s="2" t="str">
        <v>净资产收益率</v>
      </c>
      <c r="D162" s="2" t="str">
        <v>%</v>
      </c>
      <c r="E162" s="3" t="n">
        <v>8.02</v>
      </c>
      <c r="F162" s="3"/>
      <c r="G162" s="8"/>
      <c r="H162" s="3" t="n">
        <v>1.46</v>
      </c>
      <c r="I162" s="8" t="n">
        <v>0.0656934306569342</v>
      </c>
    </row>
    <row r="163" ht="23" customHeight="1">
      <c r="A163" s="2" t="str">
        <v>集团公司（本部）</v>
      </c>
      <c r="B163" s="2" t="str">
        <v>2025-06</v>
      </c>
      <c r="C163" s="2" t="str">
        <v>新签收入合同金额</v>
      </c>
      <c r="D163" s="2" t="str">
        <v>万元</v>
      </c>
      <c r="E163" s="7" t="n">
        <v>12844.43</v>
      </c>
      <c r="F163" s="7"/>
      <c r="G163" s="8"/>
      <c r="H163" s="7" t="n">
        <v>2473.14</v>
      </c>
      <c r="I163" s="8" t="n">
        <v>0.24540615668165633</v>
      </c>
    </row>
    <row r="164" ht="23" customHeight="1">
      <c r="A164" s="2" t="str">
        <v>子公司A</v>
      </c>
      <c r="B164" s="2" t="str">
        <v>2025-06</v>
      </c>
      <c r="C164" s="2" t="str">
        <v>营业总收入</v>
      </c>
      <c r="D164" s="2" t="str">
        <v>万元</v>
      </c>
      <c r="E164" s="7" t="n">
        <v>6280.03</v>
      </c>
      <c r="F164" s="7"/>
      <c r="G164" s="8"/>
      <c r="H164" s="7" t="n">
        <v>1285.55</v>
      </c>
      <c r="I164" s="8" t="n">
        <v>0.1569753314193657</v>
      </c>
    </row>
    <row r="165" ht="23" customHeight="1">
      <c r="A165" s="2" t="str">
        <v>子公司A</v>
      </c>
      <c r="B165" s="2" t="str">
        <v>2025-06</v>
      </c>
      <c r="C165" s="2" t="str">
        <v>利润总额</v>
      </c>
      <c r="D165" s="2" t="str">
        <v>万元</v>
      </c>
      <c r="E165" s="7" t="n">
        <v>752.54</v>
      </c>
      <c r="F165" s="7"/>
      <c r="G165" s="8"/>
      <c r="H165" s="7" t="n">
        <v>137.9</v>
      </c>
      <c r="I165" s="8" t="n">
        <v>0.11146933182880643</v>
      </c>
    </row>
    <row r="166" ht="23" customHeight="1">
      <c r="A166" s="2" t="str">
        <v>子公司A</v>
      </c>
      <c r="B166" s="2" t="str">
        <v>2025-06</v>
      </c>
      <c r="C166" s="2" t="str">
        <v>经营性现金流量净额</v>
      </c>
      <c r="D166" s="2" t="str">
        <v>万元</v>
      </c>
      <c r="E166" s="7" t="n">
        <v>675.37</v>
      </c>
      <c r="F166" s="7"/>
      <c r="G166" s="8"/>
      <c r="H166" s="7" t="n">
        <v>278.38</v>
      </c>
      <c r="I166" s="8" t="n">
        <v>2.037093606807768</v>
      </c>
    </row>
    <row r="167" ht="23" customHeight="1">
      <c r="A167" s="2" t="str">
        <v>子公司A</v>
      </c>
      <c r="B167" s="2" t="str">
        <v>2025-06</v>
      </c>
      <c r="C167" s="2" t="str">
        <v>资产负债率</v>
      </c>
      <c r="D167" s="2" t="str">
        <v>%</v>
      </c>
      <c r="E167" s="3" t="n">
        <v>59.68</v>
      </c>
      <c r="F167" s="3"/>
      <c r="G167" s="8"/>
      <c r="H167" s="3" t="n">
        <v>59.68</v>
      </c>
      <c r="I167" s="8" t="n">
        <v>-0.006823098685305436</v>
      </c>
    </row>
    <row r="168" ht="23" customHeight="1">
      <c r="A168" s="2" t="str">
        <v>子公司A</v>
      </c>
      <c r="B168" s="2" t="str">
        <v>2025-06</v>
      </c>
      <c r="C168" s="2" t="str">
        <v>净资产收益率</v>
      </c>
      <c r="D168" s="2" t="str">
        <v>%</v>
      </c>
      <c r="E168" s="3" t="n">
        <v>10.81</v>
      </c>
      <c r="F168" s="3"/>
      <c r="G168" s="8"/>
      <c r="H168" s="3" t="n">
        <v>1.9</v>
      </c>
      <c r="I168" s="8" t="n">
        <v>0.0919540229885057</v>
      </c>
    </row>
    <row r="169" ht="23" customHeight="1">
      <c r="A169" s="2" t="str">
        <v>子公司A</v>
      </c>
      <c r="B169" s="2" t="str">
        <v>2025-06</v>
      </c>
      <c r="C169" s="2" t="str">
        <v>新签收入合同金额</v>
      </c>
      <c r="D169" s="2" t="str">
        <v>万元</v>
      </c>
      <c r="E169" s="7" t="n">
        <v>7221.84</v>
      </c>
      <c r="F169" s="7"/>
      <c r="G169" s="8"/>
      <c r="H169" s="7" t="n">
        <v>1406.81</v>
      </c>
      <c r="I169" s="8" t="n">
        <v>0.36986474775309885</v>
      </c>
    </row>
    <row r="170" ht="23" customHeight="1">
      <c r="A170" s="2" t="str">
        <v>子公司B</v>
      </c>
      <c r="B170" s="2" t="str">
        <v>2025-06</v>
      </c>
      <c r="C170" s="2" t="str">
        <v>营业总收入</v>
      </c>
      <c r="D170" s="2" t="str">
        <v>万元</v>
      </c>
      <c r="E170" s="7" t="n">
        <v>5119.25</v>
      </c>
      <c r="F170" s="7"/>
      <c r="G170" s="8"/>
      <c r="H170" s="7" t="n">
        <v>1038.58</v>
      </c>
      <c r="I170" s="8" t="n">
        <v>0.1331776720638938</v>
      </c>
    </row>
    <row r="171" ht="23" customHeight="1">
      <c r="A171" s="2" t="str">
        <v>子公司B</v>
      </c>
      <c r="B171" s="2" t="str">
        <v>2025-06</v>
      </c>
      <c r="C171" s="2" t="str">
        <v>利润总额</v>
      </c>
      <c r="D171" s="2" t="str">
        <v>万元</v>
      </c>
      <c r="E171" s="7" t="n">
        <v>660.98</v>
      </c>
      <c r="F171" s="7"/>
      <c r="G171" s="8"/>
      <c r="H171" s="7" t="n">
        <v>129.34</v>
      </c>
      <c r="I171" s="8" t="n">
        <v>0.1658554173427078</v>
      </c>
    </row>
    <row r="172" ht="23" customHeight="1">
      <c r="A172" s="2" t="str">
        <v>子公司B</v>
      </c>
      <c r="B172" s="2" t="str">
        <v>2025-06</v>
      </c>
      <c r="C172" s="2" t="str">
        <v>经营性现金流量净额</v>
      </c>
      <c r="D172" s="2" t="str">
        <v>万元</v>
      </c>
      <c r="E172" s="7" t="n">
        <v>592.41</v>
      </c>
      <c r="F172" s="7"/>
      <c r="G172" s="8"/>
      <c r="H172" s="7" t="n">
        <v>241.04</v>
      </c>
      <c r="I172" s="8" t="n">
        <v>1.891901619676065</v>
      </c>
    </row>
    <row r="173" ht="23" customHeight="1">
      <c r="A173" s="2" t="str">
        <v>子公司B</v>
      </c>
      <c r="B173" s="2" t="str">
        <v>2025-06</v>
      </c>
      <c r="C173" s="2" t="str">
        <v>资产负债率</v>
      </c>
      <c r="D173" s="2" t="str">
        <v>%</v>
      </c>
      <c r="E173" s="3" t="n">
        <v>52.62</v>
      </c>
      <c r="F173" s="3"/>
      <c r="G173" s="8"/>
      <c r="H173" s="3" t="n">
        <v>52.62</v>
      </c>
      <c r="I173" s="8" t="n">
        <v>-0.007731472751272934</v>
      </c>
    </row>
    <row r="174" ht="23" customHeight="1">
      <c r="A174" s="2" t="str">
        <v>子公司B</v>
      </c>
      <c r="B174" s="2" t="str">
        <v>2025-06</v>
      </c>
      <c r="C174" s="2" t="str">
        <v>净资产收益率</v>
      </c>
      <c r="D174" s="2" t="str">
        <v>%</v>
      </c>
      <c r="E174" s="3" t="n">
        <v>10.96</v>
      </c>
      <c r="F174" s="3"/>
      <c r="G174" s="8"/>
      <c r="H174" s="3" t="n">
        <v>2.05</v>
      </c>
      <c r="I174" s="8" t="n">
        <v>0.13888888888888876</v>
      </c>
    </row>
    <row r="175" ht="23" customHeight="1">
      <c r="A175" s="2" t="str">
        <v>子公司B</v>
      </c>
      <c r="B175" s="2" t="str">
        <v>2025-06</v>
      </c>
      <c r="C175" s="2" t="str">
        <v>新签收入合同金额</v>
      </c>
      <c r="D175" s="2" t="str">
        <v>万元</v>
      </c>
      <c r="E175" s="7" t="n">
        <v>5668.38</v>
      </c>
      <c r="F175" s="7"/>
      <c r="G175" s="8"/>
      <c r="H175" s="7" t="n">
        <v>1286.44</v>
      </c>
      <c r="I175" s="8" t="n">
        <v>0.5220899690006864</v>
      </c>
    </row>
    <row r="176" ht="23" customHeight="1">
      <c r="A176" s="2" t="str">
        <v>子公司C</v>
      </c>
      <c r="B176" s="2" t="str">
        <v>2025-06</v>
      </c>
      <c r="C176" s="2" t="str">
        <v>营业总收入</v>
      </c>
      <c r="D176" s="2" t="str">
        <v>万元</v>
      </c>
      <c r="E176" s="7" t="n">
        <v>3932.72</v>
      </c>
      <c r="F176" s="7"/>
      <c r="G176" s="8"/>
      <c r="H176" s="7" t="n">
        <v>787.37</v>
      </c>
      <c r="I176" s="8" t="n">
        <v>0.1192181947405828</v>
      </c>
    </row>
    <row r="177" ht="23" customHeight="1">
      <c r="A177" s="2" t="str">
        <v>子公司C</v>
      </c>
      <c r="B177" s="2" t="str">
        <v>2025-06</v>
      </c>
      <c r="C177" s="2" t="str">
        <v>利润总额</v>
      </c>
      <c r="D177" s="2" t="str">
        <v>万元</v>
      </c>
      <c r="E177" s="7" t="n">
        <v>558.2</v>
      </c>
      <c r="F177" s="7"/>
      <c r="G177" s="8"/>
      <c r="H177" s="7" t="n">
        <v>117.78</v>
      </c>
      <c r="I177" s="8" t="n">
        <v>0.18383757161523778</v>
      </c>
    </row>
    <row r="178" ht="23" customHeight="1">
      <c r="A178" s="2" t="str">
        <v>子公司C</v>
      </c>
      <c r="B178" s="2" t="str">
        <v>2025-06</v>
      </c>
      <c r="C178" s="2" t="str">
        <v>经营性现金流量净额</v>
      </c>
      <c r="D178" s="2" t="str">
        <v>万元</v>
      </c>
      <c r="E178" s="7" t="n">
        <v>501.54</v>
      </c>
      <c r="F178" s="7"/>
      <c r="G178" s="8"/>
      <c r="H178" s="7" t="n">
        <v>200.49</v>
      </c>
      <c r="I178" s="8" t="n">
        <v>1.607830385015609</v>
      </c>
    </row>
    <row r="179" ht="23" customHeight="1">
      <c r="A179" s="2" t="str">
        <v>子公司C</v>
      </c>
      <c r="B179" s="2" t="str">
        <v>2025-06</v>
      </c>
      <c r="C179" s="2" t="str">
        <v>资产负债率</v>
      </c>
      <c r="D179" s="2" t="str">
        <v>%</v>
      </c>
      <c r="E179" s="3" t="n">
        <v>45.73</v>
      </c>
      <c r="F179" s="3"/>
      <c r="G179" s="8"/>
      <c r="H179" s="3" t="n">
        <v>45.73</v>
      </c>
      <c r="I179" s="8" t="n">
        <v>-0.008671146759159021</v>
      </c>
    </row>
    <row r="180" ht="23" customHeight="1">
      <c r="A180" s="2" t="str">
        <v>子公司C</v>
      </c>
      <c r="B180" s="2" t="str">
        <v>2025-06</v>
      </c>
      <c r="C180" s="2" t="str">
        <v>净资产收益率</v>
      </c>
      <c r="D180" s="2" t="str">
        <v>%</v>
      </c>
      <c r="E180" s="3" t="n">
        <v>10.88</v>
      </c>
      <c r="F180" s="3"/>
      <c r="G180" s="8"/>
      <c r="H180" s="3" t="n">
        <v>2.2</v>
      </c>
      <c r="I180" s="8" t="n">
        <v>0.15789473684210542</v>
      </c>
    </row>
    <row r="181" ht="23" customHeight="1">
      <c r="A181" s="2" t="str">
        <v>子公司C</v>
      </c>
      <c r="B181" s="2" t="str">
        <v>2025-06</v>
      </c>
      <c r="C181" s="2" t="str">
        <v>新签收入合同金额</v>
      </c>
      <c r="D181" s="2" t="str">
        <v>万元</v>
      </c>
      <c r="E181" s="7" t="n">
        <v>4385.72</v>
      </c>
      <c r="F181" s="7"/>
      <c r="G181" s="8"/>
      <c r="H181" s="7" t="n">
        <v>1131.88</v>
      </c>
      <c r="I181" s="8" t="n">
        <v>0.5130871855198783</v>
      </c>
    </row>
    <row r="182" ht="23" customHeight="1">
      <c r="A182" s="2" t="str">
        <v>集团公司（合并）</v>
      </c>
      <c r="B182" s="2" t="str">
        <v>2025-07</v>
      </c>
      <c r="C182" s="2" t="str">
        <v>营业总收入</v>
      </c>
      <c r="D182" s="2" t="str">
        <v>万元</v>
      </c>
      <c r="E182" s="7" t="n">
        <v>28425.72</v>
      </c>
      <c r="F182" s="7"/>
      <c r="G182" s="8"/>
      <c r="H182" s="7" t="n">
        <v>4125.17</v>
      </c>
      <c r="I182" s="8" t="n">
        <v>-0.16537786086562434</v>
      </c>
    </row>
    <row r="183" ht="23" customHeight="1">
      <c r="A183" s="2" t="str">
        <v>集团公司（合并）</v>
      </c>
      <c r="B183" s="2" t="str">
        <v>2025-07</v>
      </c>
      <c r="C183" s="2" t="str">
        <v>利润总额</v>
      </c>
      <c r="D183" s="2" t="str">
        <v>万元</v>
      </c>
      <c r="E183" s="7" t="n">
        <v>3409.32</v>
      </c>
      <c r="F183" s="7"/>
      <c r="G183" s="8"/>
      <c r="H183" s="7" t="n">
        <v>470.25</v>
      </c>
      <c r="I183" s="8" t="n">
        <v>-0.1647127784290739</v>
      </c>
    </row>
    <row r="184" ht="23" customHeight="1">
      <c r="A184" s="2" t="str">
        <v>集团公司（合并）</v>
      </c>
      <c r="B184" s="2" t="str">
        <v>2025-07</v>
      </c>
      <c r="C184" s="2" t="str">
        <v>经营性现金流量净额</v>
      </c>
      <c r="D184" s="2" t="str">
        <v>万元</v>
      </c>
      <c r="E184" s="7" t="n">
        <v>3198.89</v>
      </c>
      <c r="F184" s="7"/>
      <c r="G184" s="8"/>
      <c r="H184" s="7" t="n">
        <v>374.78</v>
      </c>
      <c r="I184" s="8" t="n">
        <v>-0.6818884003598894</v>
      </c>
    </row>
    <row r="185" ht="23" customHeight="1">
      <c r="A185" s="2" t="str">
        <v>集团公司（合并）</v>
      </c>
      <c r="B185" s="2" t="str">
        <v>2025-07</v>
      </c>
      <c r="C185" s="2" t="str">
        <v>资产负债率</v>
      </c>
      <c r="D185" s="2" t="str">
        <v>%</v>
      </c>
      <c r="E185" s="3" t="n">
        <v>56.9</v>
      </c>
      <c r="F185" s="3"/>
      <c r="G185" s="8"/>
      <c r="H185" s="3" t="n">
        <v>56.9</v>
      </c>
      <c r="I185" s="8" t="n">
        <v>-0.0054186331061003715</v>
      </c>
    </row>
    <row r="186" ht="23" customHeight="1">
      <c r="A186" s="2" t="str">
        <v>集团公司（合并）</v>
      </c>
      <c r="B186" s="2" t="str">
        <v>2025-07</v>
      </c>
      <c r="C186" s="2" t="str">
        <v>净资产收益率</v>
      </c>
      <c r="D186" s="2" t="str">
        <v>%</v>
      </c>
      <c r="E186" s="3" t="n">
        <v>11.55</v>
      </c>
      <c r="F186" s="3"/>
      <c r="G186" s="8"/>
      <c r="H186" s="3" t="n">
        <v>1.52</v>
      </c>
      <c r="I186" s="8" t="n">
        <v>-0.17837837837837842</v>
      </c>
    </row>
    <row r="187" ht="23" customHeight="1">
      <c r="A187" s="2" t="str">
        <v>集团公司（合并）</v>
      </c>
      <c r="B187" s="2" t="str">
        <v>2025-07</v>
      </c>
      <c r="C187" s="2" t="str">
        <v>新签收入合同金额</v>
      </c>
      <c r="D187" s="2" t="str">
        <v>万元</v>
      </c>
      <c r="E187" s="7" t="n">
        <v>33270.93</v>
      </c>
      <c r="F187" s="7"/>
      <c r="G187" s="8"/>
      <c r="H187" s="7" t="n">
        <v>4355.37</v>
      </c>
      <c r="I187" s="8" t="n">
        <v>-0.2796683613557954</v>
      </c>
    </row>
    <row r="188" ht="23" customHeight="1">
      <c r="A188" s="2" t="str">
        <v>集团公司（本部）</v>
      </c>
      <c r="B188" s="2" t="str">
        <v>2025-07</v>
      </c>
      <c r="C188" s="2" t="str">
        <v>营业总收入</v>
      </c>
      <c r="D188" s="2" t="str">
        <v>万元</v>
      </c>
      <c r="E188" s="7" t="n">
        <v>12493.03</v>
      </c>
      <c r="F188" s="7"/>
      <c r="G188" s="8"/>
      <c r="H188" s="7" t="n">
        <v>1835.14</v>
      </c>
      <c r="I188" s="8" t="n">
        <v>-0.15612555525921284</v>
      </c>
    </row>
    <row r="189" ht="23" customHeight="1">
      <c r="A189" s="2" t="str">
        <v>集团公司（本部）</v>
      </c>
      <c r="B189" s="2" t="str">
        <v>2025-07</v>
      </c>
      <c r="C189" s="2" t="str">
        <v>利润总额</v>
      </c>
      <c r="D189" s="2" t="str">
        <v>万元</v>
      </c>
      <c r="E189" s="7" t="n">
        <v>1343.58</v>
      </c>
      <c r="F189" s="7"/>
      <c r="G189" s="8"/>
      <c r="H189" s="7" t="n">
        <v>173.5</v>
      </c>
      <c r="I189" s="8" t="n">
        <v>-0.20844929056982525</v>
      </c>
    </row>
    <row r="190" ht="23" customHeight="1">
      <c r="A190" s="2" t="str">
        <v>集团公司（本部）</v>
      </c>
      <c r="B190" s="2" t="str">
        <v>2025-07</v>
      </c>
      <c r="C190" s="2" t="str">
        <v>经营性现金流量净额</v>
      </c>
      <c r="D190" s="2" t="str">
        <v>万元</v>
      </c>
      <c r="E190" s="7" t="n">
        <v>1177.91</v>
      </c>
      <c r="F190" s="7"/>
      <c r="G190" s="8"/>
      <c r="H190" s="7" t="n">
        <v>123.12</v>
      </c>
      <c r="I190" s="8" t="n">
        <v>-0.7313139689675491</v>
      </c>
    </row>
    <row r="191" ht="23" customHeight="1">
      <c r="A191" s="2" t="str">
        <v>集团公司（本部）</v>
      </c>
      <c r="B191" s="2" t="str">
        <v>2025-07</v>
      </c>
      <c r="C191" s="2" t="str">
        <v>资产负债率</v>
      </c>
      <c r="D191" s="2" t="str">
        <v>%</v>
      </c>
      <c r="E191" s="3" t="n">
        <v>56.06</v>
      </c>
      <c r="F191" s="3"/>
      <c r="G191" s="8"/>
      <c r="H191" s="3" t="n">
        <v>56.06</v>
      </c>
      <c r="I191" s="8" t="n">
        <v>-0.004262877442273444</v>
      </c>
    </row>
    <row r="192" ht="23" customHeight="1">
      <c r="A192" s="2" t="str">
        <v>集团公司（本部）</v>
      </c>
      <c r="B192" s="2" t="str">
        <v>2025-07</v>
      </c>
      <c r="C192" s="2" t="str">
        <v>净资产收益率</v>
      </c>
      <c r="D192" s="2" t="str">
        <v>%</v>
      </c>
      <c r="E192" s="3" t="n">
        <v>9.16</v>
      </c>
      <c r="F192" s="3"/>
      <c r="G192" s="8"/>
      <c r="H192" s="3" t="n">
        <v>1.14</v>
      </c>
      <c r="I192" s="8" t="n">
        <v>-0.21917808219178087</v>
      </c>
    </row>
    <row r="193" ht="23" customHeight="1">
      <c r="A193" s="2" t="str">
        <v>集团公司（本部）</v>
      </c>
      <c r="B193" s="2" t="str">
        <v>2025-07</v>
      </c>
      <c r="C193" s="2" t="str">
        <v>新签收入合同金额</v>
      </c>
      <c r="D193" s="2" t="str">
        <v>万元</v>
      </c>
      <c r="E193" s="7" t="n">
        <v>14500.23</v>
      </c>
      <c r="F193" s="7"/>
      <c r="G193" s="8"/>
      <c r="H193" s="7" t="n">
        <v>1655.8</v>
      </c>
      <c r="I193" s="8" t="n">
        <v>-0.33048674963811187</v>
      </c>
    </row>
    <row r="194" ht="23" customHeight="1">
      <c r="A194" s="2" t="str">
        <v>子公司A</v>
      </c>
      <c r="B194" s="2" t="str">
        <v>2025-07</v>
      </c>
      <c r="C194" s="2" t="str">
        <v>营业总收入</v>
      </c>
      <c r="D194" s="2" t="str">
        <v>万元</v>
      </c>
      <c r="E194" s="7" t="n">
        <v>7343.79</v>
      </c>
      <c r="F194" s="7"/>
      <c r="G194" s="8"/>
      <c r="H194" s="7" t="n">
        <v>1063.76</v>
      </c>
      <c r="I194" s="8" t="n">
        <v>-0.17252537824277545</v>
      </c>
    </row>
    <row r="195" ht="23" customHeight="1">
      <c r="A195" s="2" t="str">
        <v>子公司A</v>
      </c>
      <c r="B195" s="2" t="str">
        <v>2025-07</v>
      </c>
      <c r="C195" s="2" t="str">
        <v>利润总额</v>
      </c>
      <c r="D195" s="2" t="str">
        <v>万元</v>
      </c>
      <c r="E195" s="7" t="n">
        <v>867.85</v>
      </c>
      <c r="F195" s="7"/>
      <c r="G195" s="8"/>
      <c r="H195" s="7" t="n">
        <v>115.31</v>
      </c>
      <c r="I195" s="8" t="n">
        <v>-0.1638143582306019</v>
      </c>
    </row>
    <row r="196" ht="23" customHeight="1">
      <c r="A196" s="2" t="str">
        <v>子公司A</v>
      </c>
      <c r="B196" s="2" t="str">
        <v>2025-07</v>
      </c>
      <c r="C196" s="2" t="str">
        <v>经营性现金流量净额</v>
      </c>
      <c r="D196" s="2" t="str">
        <v>万元</v>
      </c>
      <c r="E196" s="7" t="n">
        <v>760</v>
      </c>
      <c r="F196" s="7"/>
      <c r="G196" s="8"/>
      <c r="H196" s="7" t="n">
        <v>84.63</v>
      </c>
      <c r="I196" s="8" t="n">
        <v>-0.6959910913140311</v>
      </c>
    </row>
    <row r="197" ht="23" customHeight="1">
      <c r="A197" s="2" t="str">
        <v>子公司A</v>
      </c>
      <c r="B197" s="2" t="str">
        <v>2025-07</v>
      </c>
      <c r="C197" s="2" t="str">
        <v>资产负债率</v>
      </c>
      <c r="D197" s="2" t="str">
        <v>%</v>
      </c>
      <c r="E197" s="3" t="n">
        <v>59.38</v>
      </c>
      <c r="F197" s="3"/>
      <c r="G197" s="8"/>
      <c r="H197" s="3" t="n">
        <v>59.38</v>
      </c>
      <c r="I197" s="8" t="n">
        <v>-0.005026809651474483</v>
      </c>
    </row>
    <row r="198" ht="23" customHeight="1">
      <c r="A198" s="2" t="str">
        <v>子公司A</v>
      </c>
      <c r="B198" s="2" t="str">
        <v>2025-07</v>
      </c>
      <c r="C198" s="2" t="str">
        <v>净资产收益率</v>
      </c>
      <c r="D198" s="2" t="str">
        <v>%</v>
      </c>
      <c r="E198" s="3" t="n">
        <v>12.36</v>
      </c>
      <c r="F198" s="3"/>
      <c r="G198" s="8"/>
      <c r="H198" s="3" t="n">
        <v>1.56</v>
      </c>
      <c r="I198" s="8" t="n">
        <v>-0.17894736842105258</v>
      </c>
    </row>
    <row r="199" ht="23" customHeight="1">
      <c r="A199" s="2" t="str">
        <v>子公司A</v>
      </c>
      <c r="B199" s="2" t="str">
        <v>2025-07</v>
      </c>
      <c r="C199" s="2" t="str">
        <v>新签收入合同金额</v>
      </c>
      <c r="D199" s="2" t="str">
        <v>万元</v>
      </c>
      <c r="E199" s="7" t="n">
        <v>8281.39</v>
      </c>
      <c r="F199" s="7"/>
      <c r="G199" s="8"/>
      <c r="H199" s="7" t="n">
        <v>1059.55</v>
      </c>
      <c r="I199" s="8" t="n">
        <v>-0.24684214641636043</v>
      </c>
    </row>
    <row r="200" ht="23" customHeight="1">
      <c r="A200" s="2" t="str">
        <v>子公司B</v>
      </c>
      <c r="B200" s="2" t="str">
        <v>2025-07</v>
      </c>
      <c r="C200" s="2" t="str">
        <v>营业总收入</v>
      </c>
      <c r="D200" s="2" t="str">
        <v>万元</v>
      </c>
      <c r="E200" s="7" t="n">
        <v>5974.42</v>
      </c>
      <c r="F200" s="7"/>
      <c r="G200" s="8"/>
      <c r="H200" s="7" t="n">
        <v>855.17</v>
      </c>
      <c r="I200" s="8" t="n">
        <v>-0.17659689191010802</v>
      </c>
    </row>
    <row r="201" ht="23" customHeight="1">
      <c r="A201" s="2" t="str">
        <v>子公司B</v>
      </c>
      <c r="B201" s="2" t="str">
        <v>2025-07</v>
      </c>
      <c r="C201" s="2" t="str">
        <v>利润总额</v>
      </c>
      <c r="D201" s="2" t="str">
        <v>万元</v>
      </c>
      <c r="E201" s="7" t="n">
        <v>773.86</v>
      </c>
      <c r="F201" s="7"/>
      <c r="G201" s="8"/>
      <c r="H201" s="7" t="n">
        <v>112.88</v>
      </c>
      <c r="I201" s="8" t="n">
        <v>-0.1272614813669399</v>
      </c>
    </row>
    <row r="202" ht="23" customHeight="1">
      <c r="A202" s="2" t="str">
        <v>子公司B</v>
      </c>
      <c r="B202" s="2" t="str">
        <v>2025-07</v>
      </c>
      <c r="C202" s="2" t="str">
        <v>经营性现金流量净额</v>
      </c>
      <c r="D202" s="2" t="str">
        <v>万元</v>
      </c>
      <c r="E202" s="7" t="n">
        <v>678.61</v>
      </c>
      <c r="F202" s="7"/>
      <c r="G202" s="8"/>
      <c r="H202" s="7" t="n">
        <v>86.2</v>
      </c>
      <c r="I202" s="8" t="n">
        <v>-0.6423830069697974</v>
      </c>
    </row>
    <row r="203" ht="23" customHeight="1">
      <c r="A203" s="2" t="str">
        <v>子公司B</v>
      </c>
      <c r="B203" s="2" t="str">
        <v>2025-07</v>
      </c>
      <c r="C203" s="2" t="str">
        <v>资产负债率</v>
      </c>
      <c r="D203" s="2" t="str">
        <v>%</v>
      </c>
      <c r="E203" s="3" t="n">
        <v>52.28</v>
      </c>
      <c r="F203" s="3"/>
      <c r="G203" s="8"/>
      <c r="H203" s="3" t="n">
        <v>52.28</v>
      </c>
      <c r="I203" s="8" t="n">
        <v>-0.0064614215127327315</v>
      </c>
    </row>
    <row r="204" ht="23" customHeight="1">
      <c r="A204" s="2" t="str">
        <v>子公司B</v>
      </c>
      <c r="B204" s="2" t="str">
        <v>2025-07</v>
      </c>
      <c r="C204" s="2" t="str">
        <v>净资产收益率</v>
      </c>
      <c r="D204" s="2" t="str">
        <v>%</v>
      </c>
      <c r="E204" s="3" t="n">
        <v>12.71</v>
      </c>
      <c r="F204" s="3"/>
      <c r="G204" s="8"/>
      <c r="H204" s="3" t="n">
        <v>1.76</v>
      </c>
      <c r="I204" s="8" t="n">
        <v>-0.14146341463414627</v>
      </c>
    </row>
    <row r="205" ht="23" customHeight="1">
      <c r="A205" s="2" t="str">
        <v>子公司B</v>
      </c>
      <c r="B205" s="2" t="str">
        <v>2025-07</v>
      </c>
      <c r="C205" s="2" t="str">
        <v>新签收入合同金额</v>
      </c>
      <c r="D205" s="2" t="str">
        <v>万元</v>
      </c>
      <c r="E205" s="7" t="n">
        <v>6664.79</v>
      </c>
      <c r="F205" s="7"/>
      <c r="G205" s="8"/>
      <c r="H205" s="7" t="n">
        <v>996.41</v>
      </c>
      <c r="I205" s="8" t="n">
        <v>-0.22545163396660559</v>
      </c>
    </row>
    <row r="206" ht="23" customHeight="1">
      <c r="A206" s="2" t="str">
        <v>子公司C</v>
      </c>
      <c r="B206" s="2" t="str">
        <v>2025-07</v>
      </c>
      <c r="C206" s="2" t="str">
        <v>营业总收入</v>
      </c>
      <c r="D206" s="2" t="str">
        <v>万元</v>
      </c>
      <c r="E206" s="7" t="n">
        <v>4590.6</v>
      </c>
      <c r="F206" s="7"/>
      <c r="G206" s="8"/>
      <c r="H206" s="7" t="n">
        <v>657.88</v>
      </c>
      <c r="I206" s="8" t="n">
        <v>-0.16445889480168155</v>
      </c>
    </row>
    <row r="207" ht="23" customHeight="1">
      <c r="A207" s="2" t="str">
        <v>子公司C</v>
      </c>
      <c r="B207" s="2" t="str">
        <v>2025-07</v>
      </c>
      <c r="C207" s="2" t="str">
        <v>利润总额</v>
      </c>
      <c r="D207" s="2" t="str">
        <v>万元</v>
      </c>
      <c r="E207" s="7" t="n">
        <v>661.17</v>
      </c>
      <c r="F207" s="7"/>
      <c r="G207" s="8"/>
      <c r="H207" s="7" t="n">
        <v>102.97</v>
      </c>
      <c r="I207" s="8" t="n">
        <v>-0.12574291051112246</v>
      </c>
    </row>
    <row r="208" ht="23" customHeight="1">
      <c r="A208" s="2" t="str">
        <v>子公司C</v>
      </c>
      <c r="B208" s="2" t="str">
        <v>2025-07</v>
      </c>
      <c r="C208" s="2" t="str">
        <v>经营性现金流量净额</v>
      </c>
      <c r="D208" s="2" t="str">
        <v>万元</v>
      </c>
      <c r="E208" s="7" t="n">
        <v>582.37</v>
      </c>
      <c r="F208" s="7"/>
      <c r="G208" s="8"/>
      <c r="H208" s="7" t="n">
        <v>80.83</v>
      </c>
      <c r="I208" s="8" t="n">
        <v>-0.5968377475185795</v>
      </c>
    </row>
    <row r="209" ht="23" customHeight="1">
      <c r="A209" s="2" t="str">
        <v>子公司C</v>
      </c>
      <c r="B209" s="2" t="str">
        <v>2025-07</v>
      </c>
      <c r="C209" s="2" t="str">
        <v>资产负债率</v>
      </c>
      <c r="D209" s="2" t="str">
        <v>%</v>
      </c>
      <c r="E209" s="3" t="n">
        <v>45.35</v>
      </c>
      <c r="F209" s="3"/>
      <c r="G209" s="8"/>
      <c r="H209" s="3" t="n">
        <v>45.35</v>
      </c>
      <c r="I209" s="8" t="n">
        <v>-0.008309643560026142</v>
      </c>
    </row>
    <row r="210" ht="23" customHeight="1">
      <c r="A210" s="2" t="str">
        <v>子公司C</v>
      </c>
      <c r="B210" s="2" t="str">
        <v>2025-07</v>
      </c>
      <c r="C210" s="2" t="str">
        <v>净资产收益率</v>
      </c>
      <c r="D210" s="2" t="str">
        <v>%</v>
      </c>
      <c r="E210" s="3" t="n">
        <v>12.75</v>
      </c>
      <c r="F210" s="3"/>
      <c r="G210" s="8"/>
      <c r="H210" s="3" t="n">
        <v>1.88</v>
      </c>
      <c r="I210" s="8" t="n">
        <v>-0.14545454545454556</v>
      </c>
    </row>
    <row r="211" ht="23" customHeight="1">
      <c r="A211" s="2" t="str">
        <v>子公司C</v>
      </c>
      <c r="B211" s="2" t="str">
        <v>2025-07</v>
      </c>
      <c r="C211" s="2" t="str">
        <v>新签收入合同金额</v>
      </c>
      <c r="D211" s="2" t="str">
        <v>万元</v>
      </c>
      <c r="E211" s="7" t="n">
        <v>5210.8</v>
      </c>
      <c r="F211" s="7"/>
      <c r="G211" s="8"/>
      <c r="H211" s="7" t="n">
        <v>825.08</v>
      </c>
      <c r="I211" s="8" t="n">
        <v>-0.27105346856557233</v>
      </c>
    </row>
    <row r="212" ht="23" customHeight="1">
      <c r="A212" s="2" t="str">
        <v>集团公司（合并）</v>
      </c>
      <c r="B212" s="2" t="str">
        <v>2025-08</v>
      </c>
      <c r="C212" s="2" t="str">
        <v>营业总收入</v>
      </c>
      <c r="D212" s="2" t="str">
        <v>万元</v>
      </c>
      <c r="E212" s="7" t="n">
        <v>32621.09</v>
      </c>
      <c r="F212" s="7"/>
      <c r="G212" s="8"/>
      <c r="H212" s="7" t="n">
        <v>4195.37</v>
      </c>
      <c r="I212" s="8" t="n">
        <v>0.017017480491713026</v>
      </c>
    </row>
    <row r="213" ht="23" customHeight="1">
      <c r="A213" s="2" t="str">
        <v>集团公司（合并）</v>
      </c>
      <c r="B213" s="2" t="str">
        <v>2025-08</v>
      </c>
      <c r="C213" s="2" t="str">
        <v>利润总额</v>
      </c>
      <c r="D213" s="2" t="str">
        <v>万元</v>
      </c>
      <c r="E213" s="7" t="n">
        <v>3901.83</v>
      </c>
      <c r="F213" s="7"/>
      <c r="G213" s="8"/>
      <c r="H213" s="7" t="n">
        <v>492.51</v>
      </c>
      <c r="I213" s="8" t="n">
        <v>0.04733652312599679</v>
      </c>
    </row>
    <row r="214" ht="23" customHeight="1">
      <c r="A214" s="2" t="str">
        <v>集团公司（合并）</v>
      </c>
      <c r="B214" s="2" t="str">
        <v>2025-08</v>
      </c>
      <c r="C214" s="2" t="str">
        <v>经营性现金流量净额</v>
      </c>
      <c r="D214" s="2" t="str">
        <v>万元</v>
      </c>
      <c r="E214" s="7" t="n">
        <v>3592.87</v>
      </c>
      <c r="F214" s="7"/>
      <c r="G214" s="8"/>
      <c r="H214" s="7" t="n">
        <v>393.98</v>
      </c>
      <c r="I214" s="8" t="n">
        <v>0.05123005496557993</v>
      </c>
    </row>
    <row r="215" ht="23" customHeight="1">
      <c r="A215" s="2" t="str">
        <v>集团公司（合并）</v>
      </c>
      <c r="B215" s="2" t="str">
        <v>2025-08</v>
      </c>
      <c r="C215" s="2" t="str">
        <v>资产负债率</v>
      </c>
      <c r="D215" s="2" t="str">
        <v>%</v>
      </c>
      <c r="E215" s="3" t="n">
        <v>56.58</v>
      </c>
      <c r="F215" s="3"/>
      <c r="G215" s="8"/>
      <c r="H215" s="3" t="n">
        <v>56.58</v>
      </c>
      <c r="I215" s="8" t="n">
        <v>-0.005623901581722325</v>
      </c>
    </row>
    <row r="216" ht="23" customHeight="1">
      <c r="A216" s="2" t="str">
        <v>集团公司（合并）</v>
      </c>
      <c r="B216" s="2" t="str">
        <v>2025-08</v>
      </c>
      <c r="C216" s="2" t="str">
        <v>净资产收益率</v>
      </c>
      <c r="D216" s="2" t="str">
        <v>%</v>
      </c>
      <c r="E216" s="3" t="n">
        <v>13.11</v>
      </c>
      <c r="F216" s="3"/>
      <c r="G216" s="8"/>
      <c r="H216" s="3" t="n">
        <v>1.57</v>
      </c>
      <c r="I216" s="8" t="n">
        <v>0.03289473684210529</v>
      </c>
    </row>
    <row r="217" ht="23" customHeight="1">
      <c r="A217" s="2" t="str">
        <v>集团公司（合并）</v>
      </c>
      <c r="B217" s="2" t="str">
        <v>2025-08</v>
      </c>
      <c r="C217" s="2" t="str">
        <v>新签收入合同金额</v>
      </c>
      <c r="D217" s="2" t="str">
        <v>万元</v>
      </c>
      <c r="E217" s="7" t="n">
        <v>38003.68</v>
      </c>
      <c r="F217" s="7"/>
      <c r="G217" s="8"/>
      <c r="H217" s="7" t="n">
        <v>4732.75</v>
      </c>
      <c r="I217" s="8" t="n">
        <v>0.08664705868846967</v>
      </c>
    </row>
    <row r="218" ht="23" customHeight="1">
      <c r="A218" s="2" t="str">
        <v>集团公司（本部）</v>
      </c>
      <c r="B218" s="2" t="str">
        <v>2025-08</v>
      </c>
      <c r="C218" s="2" t="str">
        <v>营业总收入</v>
      </c>
      <c r="D218" s="2" t="str">
        <v>万元</v>
      </c>
      <c r="E218" s="7" t="n">
        <v>14338.31</v>
      </c>
      <c r="F218" s="7"/>
      <c r="G218" s="8"/>
      <c r="H218" s="7" t="n">
        <v>1845.28</v>
      </c>
      <c r="I218" s="8" t="n">
        <v>0.005525463997297139</v>
      </c>
    </row>
    <row r="219" ht="23" customHeight="1">
      <c r="A219" s="2" t="str">
        <v>集团公司（本部）</v>
      </c>
      <c r="B219" s="2" t="str">
        <v>2025-08</v>
      </c>
      <c r="C219" s="2" t="str">
        <v>利润总额</v>
      </c>
      <c r="D219" s="2" t="str">
        <v>万元</v>
      </c>
      <c r="E219" s="7" t="n">
        <v>1515.58</v>
      </c>
      <c r="F219" s="7"/>
      <c r="G219" s="8"/>
      <c r="H219" s="7" t="n">
        <v>172</v>
      </c>
      <c r="I219" s="8" t="n">
        <v>-0.008645533141210375</v>
      </c>
    </row>
    <row r="220" ht="23" customHeight="1">
      <c r="A220" s="2" t="str">
        <v>集团公司（本部）</v>
      </c>
      <c r="B220" s="2" t="str">
        <v>2025-08</v>
      </c>
      <c r="C220" s="2" t="str">
        <v>经营性现金流量净额</v>
      </c>
      <c r="D220" s="2" t="str">
        <v>万元</v>
      </c>
      <c r="E220" s="7" t="n">
        <v>1299.49</v>
      </c>
      <c r="F220" s="7"/>
      <c r="G220" s="8"/>
      <c r="H220" s="7" t="n">
        <v>121.58</v>
      </c>
      <c r="I220" s="8" t="n">
        <v>-0.012508122157245014</v>
      </c>
    </row>
    <row r="221" ht="23" customHeight="1">
      <c r="A221" s="2" t="str">
        <v>集团公司（本部）</v>
      </c>
      <c r="B221" s="2" t="str">
        <v>2025-08</v>
      </c>
      <c r="C221" s="2" t="str">
        <v>资产负债率</v>
      </c>
      <c r="D221" s="2" t="str">
        <v>%</v>
      </c>
      <c r="E221" s="3" t="n">
        <v>55.85</v>
      </c>
      <c r="F221" s="3"/>
      <c r="G221" s="8"/>
      <c r="H221" s="3" t="n">
        <v>55.85</v>
      </c>
      <c r="I221" s="8" t="n">
        <v>-0.003745986443096697</v>
      </c>
    </row>
    <row r="222" ht="23" customHeight="1">
      <c r="A222" s="2" t="str">
        <v>集团公司（本部）</v>
      </c>
      <c r="B222" s="2" t="str">
        <v>2025-08</v>
      </c>
      <c r="C222" s="2" t="str">
        <v>净资产收益率</v>
      </c>
      <c r="D222" s="2" t="str">
        <v>%</v>
      </c>
      <c r="E222" s="3" t="n">
        <v>10.27</v>
      </c>
      <c r="F222" s="3"/>
      <c r="G222" s="8"/>
      <c r="H222" s="3" t="n">
        <v>1.11</v>
      </c>
      <c r="I222" s="8" t="n">
        <v>-0.026315789473684043</v>
      </c>
    </row>
    <row r="223" ht="23" customHeight="1">
      <c r="A223" s="2" t="str">
        <v>集团公司（本部）</v>
      </c>
      <c r="B223" s="2" t="str">
        <v>2025-08</v>
      </c>
      <c r="C223" s="2" t="str">
        <v>新签收入合同金额</v>
      </c>
      <c r="D223" s="2" t="str">
        <v>万元</v>
      </c>
      <c r="E223" s="7" t="n">
        <v>16283.96</v>
      </c>
      <c r="F223" s="7"/>
      <c r="G223" s="8"/>
      <c r="H223" s="7" t="n">
        <v>1783.73</v>
      </c>
      <c r="I223" s="8" t="n">
        <v>0.07726174658775219</v>
      </c>
    </row>
    <row r="224" ht="23" customHeight="1">
      <c r="A224" s="2" t="str">
        <v>子公司A</v>
      </c>
      <c r="B224" s="2" t="str">
        <v>2025-08</v>
      </c>
      <c r="C224" s="2" t="str">
        <v>营业总收入</v>
      </c>
      <c r="D224" s="2" t="str">
        <v>万元</v>
      </c>
      <c r="E224" s="7" t="n">
        <v>8417.06</v>
      </c>
      <c r="F224" s="7"/>
      <c r="G224" s="8"/>
      <c r="H224" s="7" t="n">
        <v>1073.27</v>
      </c>
      <c r="I224" s="8" t="n">
        <v>0.008939986463111971</v>
      </c>
    </row>
    <row r="225" ht="23" customHeight="1">
      <c r="A225" s="2" t="str">
        <v>子公司A</v>
      </c>
      <c r="B225" s="2" t="str">
        <v>2025-08</v>
      </c>
      <c r="C225" s="2" t="str">
        <v>利润总额</v>
      </c>
      <c r="D225" s="2" t="str">
        <v>万元</v>
      </c>
      <c r="E225" s="7" t="n">
        <v>990.75</v>
      </c>
      <c r="F225" s="7"/>
      <c r="G225" s="8"/>
      <c r="H225" s="7" t="n">
        <v>122.9</v>
      </c>
      <c r="I225" s="8" t="n">
        <v>0.06582256525886743</v>
      </c>
    </row>
    <row r="226" ht="23" customHeight="1">
      <c r="A226" s="2" t="str">
        <v>子公司A</v>
      </c>
      <c r="B226" s="2" t="str">
        <v>2025-08</v>
      </c>
      <c r="C226" s="2" t="str">
        <v>经营性现金流量净额</v>
      </c>
      <c r="D226" s="2" t="str">
        <v>万元</v>
      </c>
      <c r="E226" s="7" t="n">
        <v>851.29</v>
      </c>
      <c r="F226" s="7"/>
      <c r="G226" s="8"/>
      <c r="H226" s="7" t="n">
        <v>91.29</v>
      </c>
      <c r="I226" s="8" t="n">
        <v>0.07869549805033689</v>
      </c>
    </row>
    <row r="227" ht="23" customHeight="1">
      <c r="A227" s="2" t="str">
        <v>子公司A</v>
      </c>
      <c r="B227" s="2" t="str">
        <v>2025-08</v>
      </c>
      <c r="C227" s="2" t="str">
        <v>资产负债率</v>
      </c>
      <c r="D227" s="2" t="str">
        <v>%</v>
      </c>
      <c r="E227" s="3" t="n">
        <v>59.06</v>
      </c>
      <c r="F227" s="3"/>
      <c r="G227" s="8"/>
      <c r="H227" s="3" t="n">
        <v>59.06</v>
      </c>
      <c r="I227" s="8" t="n">
        <v>-0.005389019872010782</v>
      </c>
    </row>
    <row r="228" ht="23" customHeight="1">
      <c r="A228" s="2" t="str">
        <v>子公司A</v>
      </c>
      <c r="B228" s="2" t="str">
        <v>2025-08</v>
      </c>
      <c r="C228" s="2" t="str">
        <v>净资产收益率</v>
      </c>
      <c r="D228" s="2" t="str">
        <v>%</v>
      </c>
      <c r="E228" s="3" t="n">
        <v>13.99</v>
      </c>
      <c r="F228" s="3"/>
      <c r="G228" s="8"/>
      <c r="H228" s="3" t="n">
        <v>1.64</v>
      </c>
      <c r="I228" s="8" t="n">
        <v>0.05128205128205118</v>
      </c>
    </row>
    <row r="229" ht="23" customHeight="1">
      <c r="A229" s="2" t="str">
        <v>子公司A</v>
      </c>
      <c r="B229" s="2" t="str">
        <v>2025-08</v>
      </c>
      <c r="C229" s="2" t="str">
        <v>新签收入合同金额</v>
      </c>
      <c r="D229" s="2" t="str">
        <v>万元</v>
      </c>
      <c r="E229" s="7" t="n">
        <v>9497.36</v>
      </c>
      <c r="F229" s="7"/>
      <c r="G229" s="8"/>
      <c r="H229" s="7" t="n">
        <v>1215.97</v>
      </c>
      <c r="I229" s="8" t="n">
        <v>0.14762871030154318</v>
      </c>
    </row>
    <row r="230" ht="23" customHeight="1">
      <c r="A230" s="2" t="str">
        <v>子公司B</v>
      </c>
      <c r="B230" s="2" t="str">
        <v>2025-08</v>
      </c>
      <c r="C230" s="2" t="str">
        <v>营业总收入</v>
      </c>
      <c r="D230" s="2" t="str">
        <v>万元</v>
      </c>
      <c r="E230" s="7" t="n">
        <v>6854.23</v>
      </c>
      <c r="F230" s="7"/>
      <c r="G230" s="8"/>
      <c r="H230" s="7" t="n">
        <v>879.81</v>
      </c>
      <c r="I230" s="8" t="n">
        <v>0.028812984552778965</v>
      </c>
    </row>
    <row r="231" ht="23" customHeight="1">
      <c r="A231" s="2" t="str">
        <v>子公司B</v>
      </c>
      <c r="B231" s="2" t="str">
        <v>2025-08</v>
      </c>
      <c r="C231" s="2" t="str">
        <v>利润总额</v>
      </c>
      <c r="D231" s="2" t="str">
        <v>万元</v>
      </c>
      <c r="E231" s="7" t="n">
        <v>896.98</v>
      </c>
      <c r="F231" s="7"/>
      <c r="G231" s="8"/>
      <c r="H231" s="7" t="n">
        <v>123.12</v>
      </c>
      <c r="I231" s="8" t="n">
        <v>0.09071580439404686</v>
      </c>
    </row>
    <row r="232" ht="23" customHeight="1">
      <c r="A232" s="2" t="str">
        <v>子公司B</v>
      </c>
      <c r="B232" s="2" t="str">
        <v>2025-08</v>
      </c>
      <c r="C232" s="2" t="str">
        <v>经营性现金流量净额</v>
      </c>
      <c r="D232" s="2" t="str">
        <v>万元</v>
      </c>
      <c r="E232" s="7" t="n">
        <v>773.58</v>
      </c>
      <c r="F232" s="7"/>
      <c r="G232" s="8"/>
      <c r="H232" s="7" t="n">
        <v>94.97</v>
      </c>
      <c r="I232" s="8" t="n">
        <v>0.10174013921113684</v>
      </c>
    </row>
    <row r="233" ht="23" customHeight="1">
      <c r="A233" s="2" t="str">
        <v>子公司B</v>
      </c>
      <c r="B233" s="2" t="str">
        <v>2025-08</v>
      </c>
      <c r="C233" s="2" t="str">
        <v>资产负债率</v>
      </c>
      <c r="D233" s="2" t="str">
        <v>%</v>
      </c>
      <c r="E233" s="3" t="n">
        <v>51.89</v>
      </c>
      <c r="F233" s="3"/>
      <c r="G233" s="8"/>
      <c r="H233" s="3" t="n">
        <v>51.89</v>
      </c>
      <c r="I233" s="8" t="n">
        <v>-0.007459831675592971</v>
      </c>
    </row>
    <row r="234" ht="23" customHeight="1">
      <c r="A234" s="2" t="str">
        <v>子公司B</v>
      </c>
      <c r="B234" s="2" t="str">
        <v>2025-08</v>
      </c>
      <c r="C234" s="2" t="str">
        <v>净资产收益率</v>
      </c>
      <c r="D234" s="2" t="str">
        <v>%</v>
      </c>
      <c r="E234" s="3" t="n">
        <v>14.59</v>
      </c>
      <c r="F234" s="3"/>
      <c r="G234" s="8"/>
      <c r="H234" s="3" t="n">
        <v>1.88</v>
      </c>
      <c r="I234" s="8" t="n">
        <v>0.06818181818181812</v>
      </c>
    </row>
    <row r="235" ht="23" customHeight="1">
      <c r="A235" s="2" t="str">
        <v>子公司B</v>
      </c>
      <c r="B235" s="2" t="str">
        <v>2025-08</v>
      </c>
      <c r="C235" s="2" t="str">
        <v>新签收入合同金额</v>
      </c>
      <c r="D235" s="2" t="str">
        <v>万元</v>
      </c>
      <c r="E235" s="7" t="n">
        <v>7763.44</v>
      </c>
      <c r="F235" s="7"/>
      <c r="G235" s="8"/>
      <c r="H235" s="7" t="n">
        <v>1098.65</v>
      </c>
      <c r="I235" s="8" t="n">
        <v>0.10260836402685654</v>
      </c>
    </row>
    <row r="236" ht="23" customHeight="1">
      <c r="A236" s="2" t="str">
        <v>子公司C</v>
      </c>
      <c r="B236" s="2" t="str">
        <v>2025-08</v>
      </c>
      <c r="C236" s="2" t="str">
        <v>营业总收入</v>
      </c>
      <c r="D236" s="2" t="str">
        <v>万元</v>
      </c>
      <c r="E236" s="7" t="n">
        <v>5279.27</v>
      </c>
      <c r="F236" s="7"/>
      <c r="G236" s="8"/>
      <c r="H236" s="7" t="n">
        <v>688.67</v>
      </c>
      <c r="I236" s="8" t="n">
        <v>0.04680184836140324</v>
      </c>
    </row>
    <row r="237" ht="23" customHeight="1">
      <c r="A237" s="2" t="str">
        <v>子公司C</v>
      </c>
      <c r="B237" s="2" t="str">
        <v>2025-08</v>
      </c>
      <c r="C237" s="2" t="str">
        <v>利润总额</v>
      </c>
      <c r="D237" s="2" t="str">
        <v>万元</v>
      </c>
      <c r="E237" s="7" t="n">
        <v>770.66</v>
      </c>
      <c r="F237" s="7"/>
      <c r="G237" s="8"/>
      <c r="H237" s="7" t="n">
        <v>109.49</v>
      </c>
      <c r="I237" s="8" t="n">
        <v>0.06331941342138483</v>
      </c>
    </row>
    <row r="238" ht="23" customHeight="1">
      <c r="A238" s="2" t="str">
        <v>子公司C</v>
      </c>
      <c r="B238" s="2" t="str">
        <v>2025-08</v>
      </c>
      <c r="C238" s="2" t="str">
        <v>经营性现金流量净额</v>
      </c>
      <c r="D238" s="2" t="str">
        <v>万元</v>
      </c>
      <c r="E238" s="7" t="n">
        <v>668.51</v>
      </c>
      <c r="F238" s="7"/>
      <c r="G238" s="8"/>
      <c r="H238" s="7" t="n">
        <v>86.14</v>
      </c>
      <c r="I238" s="8" t="n">
        <v>0.06569343065693434</v>
      </c>
    </row>
    <row r="239" ht="23" customHeight="1">
      <c r="A239" s="2" t="str">
        <v>子公司C</v>
      </c>
      <c r="B239" s="2" t="str">
        <v>2025-08</v>
      </c>
      <c r="C239" s="2" t="str">
        <v>资产负债率</v>
      </c>
      <c r="D239" s="2" t="str">
        <v>%</v>
      </c>
      <c r="E239" s="3" t="n">
        <v>44.91</v>
      </c>
      <c r="F239" s="3"/>
      <c r="G239" s="8"/>
      <c r="H239" s="3" t="n">
        <v>44.91</v>
      </c>
      <c r="I239" s="8" t="n">
        <v>-0.009702315325248177</v>
      </c>
    </row>
    <row r="240" ht="23" customHeight="1">
      <c r="A240" s="2" t="str">
        <v>子公司C</v>
      </c>
      <c r="B240" s="2" t="str">
        <v>2025-08</v>
      </c>
      <c r="C240" s="2" t="str">
        <v>净资产收益率</v>
      </c>
      <c r="D240" s="2" t="str">
        <v>%</v>
      </c>
      <c r="E240" s="3" t="n">
        <v>14.71</v>
      </c>
      <c r="F240" s="3"/>
      <c r="G240" s="8"/>
      <c r="H240" s="3" t="n">
        <v>1.97</v>
      </c>
      <c r="I240" s="8" t="n">
        <v>0.04787234042553196</v>
      </c>
    </row>
    <row r="241" ht="23" customHeight="1">
      <c r="A241" s="2" t="str">
        <v>子公司C</v>
      </c>
      <c r="B241" s="2" t="str">
        <v>2025-08</v>
      </c>
      <c r="C241" s="2" t="str">
        <v>新签收入合同金额</v>
      </c>
      <c r="D241" s="2" t="str">
        <v>万元</v>
      </c>
      <c r="E241" s="7" t="n">
        <v>6042.4</v>
      </c>
      <c r="F241" s="7"/>
      <c r="G241" s="8"/>
      <c r="H241" s="7" t="n">
        <v>831.6</v>
      </c>
      <c r="I241" s="8" t="n">
        <v>0.007902264022882606</v>
      </c>
    </row>
    <row r="242" ht="23" customHeight="1">
      <c r="A242" s="2" t="str">
        <v>集团公司（合并）</v>
      </c>
      <c r="B242" s="2" t="str">
        <v>2025-09</v>
      </c>
      <c r="C242" s="2" t="str">
        <v>营业总收入</v>
      </c>
      <c r="D242" s="2" t="str">
        <v>万元</v>
      </c>
      <c r="E242" s="7" t="n">
        <v>37544.85</v>
      </c>
      <c r="F242" s="7"/>
      <c r="G242" s="8"/>
      <c r="H242" s="7" t="n">
        <v>4923.76</v>
      </c>
      <c r="I242" s="8" t="n">
        <v>0.17361758319290083</v>
      </c>
    </row>
    <row r="243" ht="23" customHeight="1">
      <c r="A243" s="2" t="str">
        <v>集团公司（合并）</v>
      </c>
      <c r="B243" s="2" t="str">
        <v>2025-09</v>
      </c>
      <c r="C243" s="2" t="str">
        <v>利润总额</v>
      </c>
      <c r="D243" s="2" t="str">
        <v>万元</v>
      </c>
      <c r="E243" s="7" t="n">
        <v>4503.03</v>
      </c>
      <c r="F243" s="7"/>
      <c r="G243" s="8"/>
      <c r="H243" s="7" t="n">
        <v>601.2</v>
      </c>
      <c r="I243" s="8" t="n">
        <v>0.2206858743984895</v>
      </c>
    </row>
    <row r="244" ht="23" customHeight="1">
      <c r="A244" s="2" t="str">
        <v>集团公司（合并）</v>
      </c>
      <c r="B244" s="2" t="str">
        <v>2025-09</v>
      </c>
      <c r="C244" s="2" t="str">
        <v>经营性现金流量净额</v>
      </c>
      <c r="D244" s="2" t="str">
        <v>万元</v>
      </c>
      <c r="E244" s="7" t="n">
        <v>4802.84</v>
      </c>
      <c r="F244" s="7"/>
      <c r="G244" s="8"/>
      <c r="H244" s="7" t="n">
        <v>1209.97</v>
      </c>
      <c r="I244" s="8" t="n">
        <v>2.0711457434387532</v>
      </c>
    </row>
    <row r="245" ht="23" customHeight="1">
      <c r="A245" s="2" t="str">
        <v>集团公司（合并）</v>
      </c>
      <c r="B245" s="2" t="str">
        <v>2025-09</v>
      </c>
      <c r="C245" s="2" t="str">
        <v>资产负债率</v>
      </c>
      <c r="D245" s="2" t="str">
        <v>%</v>
      </c>
      <c r="E245" s="3" t="n">
        <v>56.18</v>
      </c>
      <c r="F245" s="3"/>
      <c r="G245" s="8"/>
      <c r="H245" s="3" t="n">
        <v>56.18</v>
      </c>
      <c r="I245" s="8" t="n">
        <v>-0.007069635913750417</v>
      </c>
    </row>
    <row r="246" ht="23" customHeight="1">
      <c r="A246" s="2" t="str">
        <v>集团公司（合并）</v>
      </c>
      <c r="B246" s="2" t="str">
        <v>2025-09</v>
      </c>
      <c r="C246" s="2" t="str">
        <v>净资产收益率</v>
      </c>
      <c r="D246" s="2" t="str">
        <v>%</v>
      </c>
      <c r="E246" s="3" t="n">
        <v>14.98</v>
      </c>
      <c r="F246" s="3"/>
      <c r="G246" s="8"/>
      <c r="H246" s="3" t="n">
        <v>1.88</v>
      </c>
      <c r="I246" s="8" t="n">
        <v>0.19745222929936293</v>
      </c>
    </row>
    <row r="247" ht="23" customHeight="1">
      <c r="A247" s="2" t="str">
        <v>集团公司（合并）</v>
      </c>
      <c r="B247" s="2" t="str">
        <v>2025-09</v>
      </c>
      <c r="C247" s="2" t="str">
        <v>新签收入合同金额</v>
      </c>
      <c r="D247" s="2" t="str">
        <v>万元</v>
      </c>
      <c r="E247" s="7" t="n">
        <v>45035.72</v>
      </c>
      <c r="F247" s="7"/>
      <c r="G247" s="8"/>
      <c r="H247" s="7" t="n">
        <v>7032.04</v>
      </c>
      <c r="I247" s="8" t="n">
        <v>0.4858253658021235</v>
      </c>
    </row>
    <row r="248" ht="23" customHeight="1">
      <c r="A248" s="2" t="str">
        <v>集团公司（本部）</v>
      </c>
      <c r="B248" s="2" t="str">
        <v>2025-09</v>
      </c>
      <c r="C248" s="2" t="str">
        <v>营业总收入</v>
      </c>
      <c r="D248" s="2" t="str">
        <v>万元</v>
      </c>
      <c r="E248" s="7" t="n">
        <v>16471.56</v>
      </c>
      <c r="F248" s="7"/>
      <c r="G248" s="8"/>
      <c r="H248" s="7" t="n">
        <v>2133.25</v>
      </c>
      <c r="I248" s="8" t="n">
        <v>0.15605761727217551</v>
      </c>
    </row>
    <row r="249" ht="23" customHeight="1">
      <c r="A249" s="2" t="str">
        <v>集团公司（本部）</v>
      </c>
      <c r="B249" s="2" t="str">
        <v>2025-09</v>
      </c>
      <c r="C249" s="2" t="str">
        <v>利润总额</v>
      </c>
      <c r="D249" s="2" t="str">
        <v>万元</v>
      </c>
      <c r="E249" s="7" t="n">
        <v>1723.41</v>
      </c>
      <c r="F249" s="7"/>
      <c r="G249" s="8"/>
      <c r="H249" s="7" t="n">
        <v>207.83</v>
      </c>
      <c r="I249" s="8" t="n">
        <v>0.20831395348837217</v>
      </c>
    </row>
    <row r="250" ht="23" customHeight="1">
      <c r="A250" s="2" t="str">
        <v>集团公司（本部）</v>
      </c>
      <c r="B250" s="2" t="str">
        <v>2025-09</v>
      </c>
      <c r="C250" s="2" t="str">
        <v>经营性现金流量净额</v>
      </c>
      <c r="D250" s="2" t="str">
        <v>万元</v>
      </c>
      <c r="E250" s="7" t="n">
        <v>1742.53</v>
      </c>
      <c r="F250" s="7"/>
      <c r="G250" s="8"/>
      <c r="H250" s="7" t="n">
        <v>443.04</v>
      </c>
      <c r="I250" s="8" t="n">
        <v>2.644020398091792</v>
      </c>
    </row>
    <row r="251" ht="23" customHeight="1">
      <c r="A251" s="2" t="str">
        <v>集团公司（本部）</v>
      </c>
      <c r="B251" s="2" t="str">
        <v>2025-09</v>
      </c>
      <c r="C251" s="2" t="str">
        <v>资产负债率</v>
      </c>
      <c r="D251" s="2" t="str">
        <v>%</v>
      </c>
      <c r="E251" s="3" t="n">
        <v>55.61</v>
      </c>
      <c r="F251" s="3"/>
      <c r="G251" s="8"/>
      <c r="H251" s="3" t="n">
        <v>55.61</v>
      </c>
      <c r="I251" s="8" t="n">
        <v>-0.004297224709042113</v>
      </c>
    </row>
    <row r="252" ht="23" customHeight="1">
      <c r="A252" s="2" t="str">
        <v>集团公司（本部）</v>
      </c>
      <c r="B252" s="2" t="str">
        <v>2025-09</v>
      </c>
      <c r="C252" s="2" t="str">
        <v>净资产收益率</v>
      </c>
      <c r="D252" s="2" t="str">
        <v>%</v>
      </c>
      <c r="E252" s="3" t="n">
        <v>11.6</v>
      </c>
      <c r="F252" s="3"/>
      <c r="G252" s="8"/>
      <c r="H252" s="3" t="n">
        <v>1.33</v>
      </c>
      <c r="I252" s="8" t="n">
        <v>0.19819819819819814</v>
      </c>
    </row>
    <row r="253" ht="23" customHeight="1">
      <c r="A253" s="2" t="str">
        <v>集团公司（本部）</v>
      </c>
      <c r="B253" s="2" t="str">
        <v>2025-09</v>
      </c>
      <c r="C253" s="2" t="str">
        <v>新签收入合同金额</v>
      </c>
      <c r="D253" s="2" t="str">
        <v>万元</v>
      </c>
      <c r="E253" s="7" t="n">
        <v>19105.73</v>
      </c>
      <c r="F253" s="7"/>
      <c r="G253" s="8"/>
      <c r="H253" s="7" t="n">
        <v>2821.77</v>
      </c>
      <c r="I253" s="8" t="n">
        <v>0.5819490617974693</v>
      </c>
    </row>
    <row r="254" ht="23" customHeight="1">
      <c r="A254" s="2" t="str">
        <v>子公司A</v>
      </c>
      <c r="B254" s="2" t="str">
        <v>2025-09</v>
      </c>
      <c r="C254" s="2" t="str">
        <v>营业总收入</v>
      </c>
      <c r="D254" s="2" t="str">
        <v>万元</v>
      </c>
      <c r="E254" s="7" t="n">
        <v>9684.41</v>
      </c>
      <c r="F254" s="7"/>
      <c r="G254" s="8"/>
      <c r="H254" s="7" t="n">
        <v>1267.35</v>
      </c>
      <c r="I254" s="8" t="n">
        <v>0.18083054590177675</v>
      </c>
    </row>
    <row r="255" ht="23" customHeight="1">
      <c r="A255" s="2" t="str">
        <v>子公司A</v>
      </c>
      <c r="B255" s="2" t="str">
        <v>2025-09</v>
      </c>
      <c r="C255" s="2" t="str">
        <v>利润总额</v>
      </c>
      <c r="D255" s="2" t="str">
        <v>万元</v>
      </c>
      <c r="E255" s="7" t="n">
        <v>1146.3</v>
      </c>
      <c r="F255" s="7"/>
      <c r="G255" s="8"/>
      <c r="H255" s="7" t="n">
        <v>155.55</v>
      </c>
      <c r="I255" s="8" t="n">
        <v>0.2656631407648495</v>
      </c>
    </row>
    <row r="256" ht="23" customHeight="1">
      <c r="A256" s="2" t="str">
        <v>子公司A</v>
      </c>
      <c r="B256" s="2" t="str">
        <v>2025-09</v>
      </c>
      <c r="C256" s="2" t="str">
        <v>经营性现金流量净额</v>
      </c>
      <c r="D256" s="2" t="str">
        <v>万元</v>
      </c>
      <c r="E256" s="7" t="n">
        <v>1143.37</v>
      </c>
      <c r="F256" s="7"/>
      <c r="G256" s="8"/>
      <c r="H256" s="7" t="n">
        <v>292.08</v>
      </c>
      <c r="I256" s="8" t="n">
        <v>2.199474203089056</v>
      </c>
    </row>
    <row r="257" ht="23" customHeight="1">
      <c r="A257" s="2" t="str">
        <v>子公司A</v>
      </c>
      <c r="B257" s="2" t="str">
        <v>2025-09</v>
      </c>
      <c r="C257" s="2" t="str">
        <v>资产负债率</v>
      </c>
      <c r="D257" s="2" t="str">
        <v>%</v>
      </c>
      <c r="E257" s="3" t="n">
        <v>58.64</v>
      </c>
      <c r="F257" s="3"/>
      <c r="G257" s="8"/>
      <c r="H257" s="3" t="n">
        <v>58.64</v>
      </c>
      <c r="I257" s="8" t="n">
        <v>-0.0071114121232645055</v>
      </c>
    </row>
    <row r="258" ht="23" customHeight="1">
      <c r="A258" s="2" t="str">
        <v>子公司A</v>
      </c>
      <c r="B258" s="2" t="str">
        <v>2025-09</v>
      </c>
      <c r="C258" s="2" t="str">
        <v>净资产收益率</v>
      </c>
      <c r="D258" s="2" t="str">
        <v>%</v>
      </c>
      <c r="E258" s="3" t="n">
        <v>16.01</v>
      </c>
      <c r="F258" s="3"/>
      <c r="G258" s="8"/>
      <c r="H258" s="3" t="n">
        <v>2.03</v>
      </c>
      <c r="I258" s="8" t="n">
        <v>0.23780487804878045</v>
      </c>
    </row>
    <row r="259" ht="23" customHeight="1">
      <c r="A259" s="2" t="str">
        <v>子公司A</v>
      </c>
      <c r="B259" s="2" t="str">
        <v>2025-09</v>
      </c>
      <c r="C259" s="2" t="str">
        <v>新签收入合同金额</v>
      </c>
      <c r="D259" s="2" t="str">
        <v>万元</v>
      </c>
      <c r="E259" s="7" t="n">
        <v>11384.3</v>
      </c>
      <c r="F259" s="7"/>
      <c r="G259" s="8"/>
      <c r="H259" s="7" t="n">
        <v>1886.94</v>
      </c>
      <c r="I259" s="8" t="n">
        <v>0.5517981529149568</v>
      </c>
    </row>
    <row r="260" ht="23" customHeight="1">
      <c r="A260" s="2" t="str">
        <v>子公司B</v>
      </c>
      <c r="B260" s="2" t="str">
        <v>2025-09</v>
      </c>
      <c r="C260" s="2" t="str">
        <v>营业总收入</v>
      </c>
      <c r="D260" s="2" t="str">
        <v>万元</v>
      </c>
      <c r="E260" s="7" t="n">
        <v>7904.76</v>
      </c>
      <c r="F260" s="7"/>
      <c r="G260" s="8"/>
      <c r="H260" s="7" t="n">
        <v>1050.53</v>
      </c>
      <c r="I260" s="8" t="n">
        <v>0.19404189540923614</v>
      </c>
    </row>
    <row r="261" ht="23" customHeight="1">
      <c r="A261" s="2" t="str">
        <v>子公司B</v>
      </c>
      <c r="B261" s="2" t="str">
        <v>2025-09</v>
      </c>
      <c r="C261" s="2" t="str">
        <v>利润总额</v>
      </c>
      <c r="D261" s="2" t="str">
        <v>万元</v>
      </c>
      <c r="E261" s="7" t="n">
        <v>1048.9</v>
      </c>
      <c r="F261" s="7"/>
      <c r="G261" s="8"/>
      <c r="H261" s="7" t="n">
        <v>151.92</v>
      </c>
      <c r="I261" s="8" t="n">
        <v>0.2339181286549706</v>
      </c>
    </row>
    <row r="262" ht="23" customHeight="1">
      <c r="A262" s="2" t="str">
        <v>子公司B</v>
      </c>
      <c r="B262" s="2" t="str">
        <v>2025-09</v>
      </c>
      <c r="C262" s="2" t="str">
        <v>经营性现金流量净额</v>
      </c>
      <c r="D262" s="2" t="str">
        <v>万元</v>
      </c>
      <c r="E262" s="7" t="n">
        <v>1036.37</v>
      </c>
      <c r="F262" s="7"/>
      <c r="G262" s="8"/>
      <c r="H262" s="7" t="n">
        <v>262.79</v>
      </c>
      <c r="I262" s="8" t="n">
        <v>1.7670843424239235</v>
      </c>
    </row>
    <row r="263" ht="23" customHeight="1">
      <c r="A263" s="2" t="str">
        <v>子公司B</v>
      </c>
      <c r="B263" s="2" t="str">
        <v>2025-09</v>
      </c>
      <c r="C263" s="2" t="str">
        <v>资产负债率</v>
      </c>
      <c r="D263" s="2" t="str">
        <v>%</v>
      </c>
      <c r="E263" s="3" t="n">
        <v>51.37</v>
      </c>
      <c r="F263" s="3"/>
      <c r="G263" s="8"/>
      <c r="H263" s="3" t="n">
        <v>51.37</v>
      </c>
      <c r="I263" s="8" t="n">
        <v>-0.010021198689535616</v>
      </c>
    </row>
    <row r="264" ht="23" customHeight="1">
      <c r="A264" s="2" t="str">
        <v>子公司B</v>
      </c>
      <c r="B264" s="2" t="str">
        <v>2025-09</v>
      </c>
      <c r="C264" s="2" t="str">
        <v>净资产收益率</v>
      </c>
      <c r="D264" s="2" t="str">
        <v>%</v>
      </c>
      <c r="E264" s="3" t="n">
        <v>16.85</v>
      </c>
      <c r="F264" s="3"/>
      <c r="G264" s="8"/>
      <c r="H264" s="3" t="n">
        <v>2.28</v>
      </c>
      <c r="I264" s="8" t="n">
        <v>0.21276595744680848</v>
      </c>
    </row>
    <row r="265" ht="23" customHeight="1">
      <c r="A265" s="2" t="str">
        <v>子公司B</v>
      </c>
      <c r="B265" s="2" t="str">
        <v>2025-09</v>
      </c>
      <c r="C265" s="2" t="str">
        <v>新签收入合同金额</v>
      </c>
      <c r="D265" s="2" t="str">
        <v>万元</v>
      </c>
      <c r="E265" s="7" t="n">
        <v>9317.72</v>
      </c>
      <c r="F265" s="7"/>
      <c r="G265" s="8"/>
      <c r="H265" s="7" t="n">
        <v>1554.28</v>
      </c>
      <c r="I265" s="8" t="n">
        <v>0.41471806307741305</v>
      </c>
    </row>
    <row r="266" ht="23" customHeight="1">
      <c r="A266" s="2" t="str">
        <v>子公司C</v>
      </c>
      <c r="B266" s="2" t="str">
        <v>2025-09</v>
      </c>
      <c r="C266" s="2" t="str">
        <v>营业总收入</v>
      </c>
      <c r="D266" s="2" t="str">
        <v>万元</v>
      </c>
      <c r="E266" s="7" t="n">
        <v>6094.19</v>
      </c>
      <c r="F266" s="7"/>
      <c r="G266" s="8"/>
      <c r="H266" s="7" t="n">
        <v>814.92</v>
      </c>
      <c r="I266" s="8" t="n">
        <v>0.18332437887522327</v>
      </c>
    </row>
    <row r="267" ht="23" customHeight="1">
      <c r="A267" s="2" t="str">
        <v>子公司C</v>
      </c>
      <c r="B267" s="2" t="str">
        <v>2025-09</v>
      </c>
      <c r="C267" s="2" t="str">
        <v>利润总额</v>
      </c>
      <c r="D267" s="2" t="str">
        <v>万元</v>
      </c>
      <c r="E267" s="7" t="n">
        <v>897.63</v>
      </c>
      <c r="F267" s="7"/>
      <c r="G267" s="8"/>
      <c r="H267" s="7" t="n">
        <v>126.97</v>
      </c>
      <c r="I267" s="8" t="n">
        <v>0.15964928303954704</v>
      </c>
    </row>
    <row r="268" ht="23" customHeight="1">
      <c r="A268" s="2" t="str">
        <v>子公司C</v>
      </c>
      <c r="B268" s="2" t="str">
        <v>2025-09</v>
      </c>
      <c r="C268" s="2" t="str">
        <v>经营性现金流量净额</v>
      </c>
      <c r="D268" s="2" t="str">
        <v>万元</v>
      </c>
      <c r="E268" s="7" t="n">
        <v>880.57</v>
      </c>
      <c r="F268" s="7"/>
      <c r="G268" s="8"/>
      <c r="H268" s="7" t="n">
        <v>212.06</v>
      </c>
      <c r="I268" s="8" t="n">
        <v>1.4618063617367076</v>
      </c>
    </row>
    <row r="269" ht="23" customHeight="1">
      <c r="A269" s="2" t="str">
        <v>子公司C</v>
      </c>
      <c r="B269" s="2" t="str">
        <v>2025-09</v>
      </c>
      <c r="C269" s="2" t="str">
        <v>资产负债率</v>
      </c>
      <c r="D269" s="2" t="str">
        <v>%</v>
      </c>
      <c r="E269" s="3" t="n">
        <v>44.39</v>
      </c>
      <c r="F269" s="3"/>
      <c r="G269" s="8"/>
      <c r="H269" s="3" t="n">
        <v>44.39</v>
      </c>
      <c r="I269" s="8" t="n">
        <v>-0.011578712981518505</v>
      </c>
    </row>
    <row r="270" ht="23" customHeight="1">
      <c r="A270" s="2" t="str">
        <v>子公司C</v>
      </c>
      <c r="B270" s="2" t="str">
        <v>2025-09</v>
      </c>
      <c r="C270" s="2" t="str">
        <v>净资产收益率</v>
      </c>
      <c r="D270" s="2" t="str">
        <v>%</v>
      </c>
      <c r="E270" s="3" t="n">
        <v>16.93</v>
      </c>
      <c r="F270" s="3"/>
      <c r="G270" s="8"/>
      <c r="H270" s="3" t="n">
        <v>2.23</v>
      </c>
      <c r="I270" s="8" t="n">
        <v>0.1319796954314721</v>
      </c>
    </row>
    <row r="271" ht="23" customHeight="1">
      <c r="A271" s="2" t="str">
        <v>子公司C</v>
      </c>
      <c r="B271" s="2" t="str">
        <v>2025-09</v>
      </c>
      <c r="C271" s="2" t="str">
        <v>新签收入合同金额</v>
      </c>
      <c r="D271" s="2" t="str">
        <v>万元</v>
      </c>
      <c r="E271" s="7" t="n">
        <v>7104.45</v>
      </c>
      <c r="F271" s="7"/>
      <c r="G271" s="8"/>
      <c r="H271" s="7" t="n">
        <v>1062.05</v>
      </c>
      <c r="I271" s="8" t="n">
        <v>0.27711640211640204</v>
      </c>
    </row>
    <row r="272" ht="23" customHeight="1">
      <c r="A272" s="2" t="str">
        <v>集团公司（合并）</v>
      </c>
      <c r="B272" s="2" t="str">
        <v>2025-10</v>
      </c>
      <c r="C272" s="2" t="str">
        <v>营业总收入</v>
      </c>
      <c r="D272" s="2" t="str">
        <v>万元</v>
      </c>
      <c r="E272" s="7" t="n">
        <v>42071.36</v>
      </c>
      <c r="F272" s="7"/>
      <c r="G272" s="8"/>
      <c r="H272" s="7" t="n">
        <v>4526.51</v>
      </c>
      <c r="I272" s="8" t="n">
        <v>-0.08068021187060295</v>
      </c>
    </row>
    <row r="273" ht="23" customHeight="1">
      <c r="A273" s="2" t="str">
        <v>集团公司（合并）</v>
      </c>
      <c r="B273" s="2" t="str">
        <v>2025-10</v>
      </c>
      <c r="C273" s="2" t="str">
        <v>利润总额</v>
      </c>
      <c r="D273" s="2" t="str">
        <v>万元</v>
      </c>
      <c r="E273" s="7" t="n">
        <v>5071.51</v>
      </c>
      <c r="F273" s="7"/>
      <c r="G273" s="8"/>
      <c r="H273" s="7" t="n">
        <v>568.48</v>
      </c>
      <c r="I273" s="8" t="n">
        <v>-0.05442448436460417</v>
      </c>
    </row>
    <row r="274" ht="23" customHeight="1">
      <c r="A274" s="2" t="str">
        <v>集团公司（合并）</v>
      </c>
      <c r="B274" s="2" t="str">
        <v>2025-10</v>
      </c>
      <c r="C274" s="2" t="str">
        <v>经营性现金流量净额</v>
      </c>
      <c r="D274" s="2" t="str">
        <v>万元</v>
      </c>
      <c r="E274" s="7" t="n">
        <v>5261.32</v>
      </c>
      <c r="F274" s="7"/>
      <c r="G274" s="8"/>
      <c r="H274" s="7" t="n">
        <v>458.48</v>
      </c>
      <c r="I274" s="8" t="n">
        <v>-0.6210815144177129</v>
      </c>
    </row>
    <row r="275" ht="23" customHeight="1">
      <c r="A275" s="2" t="str">
        <v>集团公司（合并）</v>
      </c>
      <c r="B275" s="2" t="str">
        <v>2025-10</v>
      </c>
      <c r="C275" s="2" t="str">
        <v>资产负债率</v>
      </c>
      <c r="D275" s="2" t="str">
        <v>%</v>
      </c>
      <c r="E275" s="3" t="n">
        <v>55.79</v>
      </c>
      <c r="F275" s="3"/>
      <c r="G275" s="8"/>
      <c r="H275" s="3" t="n">
        <v>55.79</v>
      </c>
      <c r="I275" s="8" t="n">
        <v>-0.0069419722321110815</v>
      </c>
    </row>
    <row r="276" ht="23" customHeight="1">
      <c r="A276" s="2" t="str">
        <v>集团公司（合并）</v>
      </c>
      <c r="B276" s="2" t="str">
        <v>2025-10</v>
      </c>
      <c r="C276" s="2" t="str">
        <v>净资产收益率</v>
      </c>
      <c r="D276" s="2" t="str">
        <v>%</v>
      </c>
      <c r="E276" s="3" t="n">
        <v>16.71</v>
      </c>
      <c r="F276" s="3"/>
      <c r="G276" s="8"/>
      <c r="H276" s="3" t="n">
        <v>1.74</v>
      </c>
      <c r="I276" s="8" t="n">
        <v>-0.07446808510638293</v>
      </c>
    </row>
    <row r="277" ht="23" customHeight="1">
      <c r="A277" s="2" t="str">
        <v>集团公司（合并）</v>
      </c>
      <c r="B277" s="2" t="str">
        <v>2025-10</v>
      </c>
      <c r="C277" s="2" t="str">
        <v>新签收入合同金额</v>
      </c>
      <c r="D277" s="2" t="str">
        <v>万元</v>
      </c>
      <c r="E277" s="7" t="n">
        <v>50448.29</v>
      </c>
      <c r="F277" s="7"/>
      <c r="G277" s="8"/>
      <c r="H277" s="7" t="n">
        <v>5412.57</v>
      </c>
      <c r="I277" s="8" t="n">
        <v>-0.23029874687857296</v>
      </c>
    </row>
    <row r="278" ht="23" customHeight="1">
      <c r="A278" s="2" t="str">
        <v>集团公司（本部）</v>
      </c>
      <c r="B278" s="2" t="str">
        <v>2025-10</v>
      </c>
      <c r="C278" s="2" t="str">
        <v>营业总收入</v>
      </c>
      <c r="D278" s="2" t="str">
        <v>万元</v>
      </c>
      <c r="E278" s="7" t="n">
        <v>18445.78</v>
      </c>
      <c r="F278" s="7"/>
      <c r="G278" s="8"/>
      <c r="H278" s="7" t="n">
        <v>1974.22</v>
      </c>
      <c r="I278" s="8" t="n">
        <v>-0.07454822454002108</v>
      </c>
    </row>
    <row r="279" ht="23" customHeight="1">
      <c r="A279" s="2" t="str">
        <v>集团公司（本部）</v>
      </c>
      <c r="B279" s="2" t="str">
        <v>2025-10</v>
      </c>
      <c r="C279" s="2" t="str">
        <v>利润总额</v>
      </c>
      <c r="D279" s="2" t="str">
        <v>万元</v>
      </c>
      <c r="E279" s="7" t="n">
        <v>1931.1</v>
      </c>
      <c r="F279" s="7"/>
      <c r="G279" s="8"/>
      <c r="H279" s="7" t="n">
        <v>207.69</v>
      </c>
      <c r="I279" s="8" t="n">
        <v>-0.0006736274840014184</v>
      </c>
    </row>
    <row r="280" ht="23" customHeight="1">
      <c r="A280" s="2" t="str">
        <v>集团公司（本部）</v>
      </c>
      <c r="B280" s="2" t="str">
        <v>2025-10</v>
      </c>
      <c r="C280" s="2" t="str">
        <v>经营性现金流量净额</v>
      </c>
      <c r="D280" s="2" t="str">
        <v>万元</v>
      </c>
      <c r="E280" s="7" t="n">
        <v>1893.92</v>
      </c>
      <c r="F280" s="7"/>
      <c r="G280" s="8"/>
      <c r="H280" s="7" t="n">
        <v>151.39</v>
      </c>
      <c r="I280" s="8" t="n">
        <v>-0.6582927049476346</v>
      </c>
    </row>
    <row r="281" ht="23" customHeight="1">
      <c r="A281" s="2" t="str">
        <v>集团公司（本部）</v>
      </c>
      <c r="B281" s="2" t="str">
        <v>2025-10</v>
      </c>
      <c r="C281" s="2" t="str">
        <v>资产负债率</v>
      </c>
      <c r="D281" s="2" t="str">
        <v>%</v>
      </c>
      <c r="E281" s="3" t="n">
        <v>55.35</v>
      </c>
      <c r="F281" s="3"/>
      <c r="G281" s="8"/>
      <c r="H281" s="3" t="n">
        <v>55.35</v>
      </c>
      <c r="I281" s="8" t="n">
        <v>-0.004675418090271498</v>
      </c>
    </row>
    <row r="282" ht="23" customHeight="1">
      <c r="A282" s="2" t="str">
        <v>集团公司（本部）</v>
      </c>
      <c r="B282" s="2" t="str">
        <v>2025-10</v>
      </c>
      <c r="C282" s="2" t="str">
        <v>净资产收益率</v>
      </c>
      <c r="D282" s="2" t="str">
        <v>%</v>
      </c>
      <c r="E282" s="3" t="n">
        <v>12.9</v>
      </c>
      <c r="F282" s="3"/>
      <c r="G282" s="8"/>
      <c r="H282" s="3" t="n">
        <v>1.31</v>
      </c>
      <c r="I282" s="8" t="n">
        <v>-0.015037593984962419</v>
      </c>
    </row>
    <row r="283" ht="23" customHeight="1">
      <c r="A283" s="2" t="str">
        <v>集团公司（本部）</v>
      </c>
      <c r="B283" s="2" t="str">
        <v>2025-10</v>
      </c>
      <c r="C283" s="2" t="str">
        <v>新签收入合同金额</v>
      </c>
      <c r="D283" s="2" t="str">
        <v>万元</v>
      </c>
      <c r="E283" s="7" t="n">
        <v>21510.34</v>
      </c>
      <c r="F283" s="7"/>
      <c r="G283" s="8"/>
      <c r="H283" s="7" t="n">
        <v>2404.61</v>
      </c>
      <c r="I283" s="8" t="n">
        <v>-0.14783628715309888</v>
      </c>
    </row>
    <row r="284" ht="23" customHeight="1">
      <c r="A284" s="2" t="str">
        <v>子公司A</v>
      </c>
      <c r="B284" s="2" t="str">
        <v>2025-10</v>
      </c>
      <c r="C284" s="2" t="str">
        <v>营业总收入</v>
      </c>
      <c r="D284" s="2" t="str">
        <v>万元</v>
      </c>
      <c r="E284" s="7" t="n">
        <v>10861.05</v>
      </c>
      <c r="F284" s="7"/>
      <c r="G284" s="8"/>
      <c r="H284" s="7" t="n">
        <v>1176.64</v>
      </c>
      <c r="I284" s="8" t="n">
        <v>-0.07157454531108204</v>
      </c>
    </row>
    <row r="285" ht="23" customHeight="1">
      <c r="A285" s="2" t="str">
        <v>子公司A</v>
      </c>
      <c r="B285" s="2" t="str">
        <v>2025-10</v>
      </c>
      <c r="C285" s="2" t="str">
        <v>利润总额</v>
      </c>
      <c r="D285" s="2" t="str">
        <v>万元</v>
      </c>
      <c r="E285" s="7" t="n">
        <v>1298.33</v>
      </c>
      <c r="F285" s="7"/>
      <c r="G285" s="8"/>
      <c r="H285" s="7" t="n">
        <v>152.03</v>
      </c>
      <c r="I285" s="8" t="n">
        <v>-0.022629379620700805</v>
      </c>
    </row>
    <row r="286" ht="23" customHeight="1">
      <c r="A286" s="2" t="str">
        <v>子公司A</v>
      </c>
      <c r="B286" s="2" t="str">
        <v>2025-10</v>
      </c>
      <c r="C286" s="2" t="str">
        <v>经营性现金流量净额</v>
      </c>
      <c r="D286" s="2" t="str">
        <v>万元</v>
      </c>
      <c r="E286" s="7" t="n">
        <v>1259.02</v>
      </c>
      <c r="F286" s="7"/>
      <c r="G286" s="8"/>
      <c r="H286" s="7" t="n">
        <v>115.65</v>
      </c>
      <c r="I286" s="8" t="n">
        <v>-0.6040468364831553</v>
      </c>
    </row>
    <row r="287" ht="23" customHeight="1">
      <c r="A287" s="2" t="str">
        <v>子公司A</v>
      </c>
      <c r="B287" s="2" t="str">
        <v>2025-10</v>
      </c>
      <c r="C287" s="2" t="str">
        <v>资产负债率</v>
      </c>
      <c r="D287" s="2" t="str">
        <v>%</v>
      </c>
      <c r="E287" s="3" t="n">
        <v>58.2</v>
      </c>
      <c r="F287" s="3"/>
      <c r="G287" s="8"/>
      <c r="H287" s="3" t="n">
        <v>58.2</v>
      </c>
      <c r="I287" s="8" t="n">
        <v>-0.007503410641200507</v>
      </c>
    </row>
    <row r="288" ht="23" customHeight="1">
      <c r="A288" s="2" t="str">
        <v>子公司A</v>
      </c>
      <c r="B288" s="2" t="str">
        <v>2025-10</v>
      </c>
      <c r="C288" s="2" t="str">
        <v>净资产收益率</v>
      </c>
      <c r="D288" s="2" t="str">
        <v>%</v>
      </c>
      <c r="E288" s="3" t="n">
        <v>17.94</v>
      </c>
      <c r="F288" s="3"/>
      <c r="G288" s="8"/>
      <c r="H288" s="3" t="n">
        <v>1.95</v>
      </c>
      <c r="I288" s="8" t="n">
        <v>-0.03940886699507382</v>
      </c>
    </row>
    <row r="289" ht="23" customHeight="1">
      <c r="A289" s="2" t="str">
        <v>子公司A</v>
      </c>
      <c r="B289" s="2" t="str">
        <v>2025-10</v>
      </c>
      <c r="C289" s="2" t="str">
        <v>新签收入合同金额</v>
      </c>
      <c r="D289" s="2" t="str">
        <v>万元</v>
      </c>
      <c r="E289" s="7" t="n">
        <v>12847.98</v>
      </c>
      <c r="F289" s="7"/>
      <c r="G289" s="8"/>
      <c r="H289" s="7" t="n">
        <v>1463.68</v>
      </c>
      <c r="I289" s="8" t="n">
        <v>-0.22431025893775106</v>
      </c>
    </row>
    <row r="290" ht="23" customHeight="1">
      <c r="A290" s="2" t="str">
        <v>子公司B</v>
      </c>
      <c r="B290" s="2" t="str">
        <v>2025-10</v>
      </c>
      <c r="C290" s="2" t="str">
        <v>营业总收入</v>
      </c>
      <c r="D290" s="2" t="str">
        <v>万元</v>
      </c>
      <c r="E290" s="7" t="n">
        <v>8865.03</v>
      </c>
      <c r="F290" s="7"/>
      <c r="G290" s="8"/>
      <c r="H290" s="7" t="n">
        <v>960.27</v>
      </c>
      <c r="I290" s="8" t="n">
        <v>-0.08591853635783842</v>
      </c>
    </row>
    <row r="291" ht="23" customHeight="1">
      <c r="A291" s="2" t="str">
        <v>子公司B</v>
      </c>
      <c r="B291" s="2" t="str">
        <v>2025-10</v>
      </c>
      <c r="C291" s="2" t="str">
        <v>利润总额</v>
      </c>
      <c r="D291" s="2" t="str">
        <v>万元</v>
      </c>
      <c r="E291" s="7" t="n">
        <v>1187.01</v>
      </c>
      <c r="F291" s="7"/>
      <c r="G291" s="8"/>
      <c r="H291" s="7" t="n">
        <v>138.11</v>
      </c>
      <c r="I291" s="8" t="n">
        <v>-0.09090310689836739</v>
      </c>
    </row>
    <row r="292" ht="23" customHeight="1">
      <c r="A292" s="2" t="str">
        <v>子公司B</v>
      </c>
      <c r="B292" s="2" t="str">
        <v>2025-10</v>
      </c>
      <c r="C292" s="2" t="str">
        <v>经营性现金流量净额</v>
      </c>
      <c r="D292" s="2" t="str">
        <v>万元</v>
      </c>
      <c r="E292" s="7" t="n">
        <v>1143.38</v>
      </c>
      <c r="F292" s="7"/>
      <c r="G292" s="8"/>
      <c r="H292" s="7" t="n">
        <v>107.01</v>
      </c>
      <c r="I292" s="8" t="n">
        <v>-0.5927927242284715</v>
      </c>
    </row>
    <row r="293" ht="23" customHeight="1">
      <c r="A293" s="2" t="str">
        <v>子公司B</v>
      </c>
      <c r="B293" s="2" t="str">
        <v>2025-10</v>
      </c>
      <c r="C293" s="2" t="str">
        <v>资产负债率</v>
      </c>
      <c r="D293" s="2" t="str">
        <v>%</v>
      </c>
      <c r="E293" s="3" t="n">
        <v>50.88</v>
      </c>
      <c r="F293" s="3"/>
      <c r="G293" s="8"/>
      <c r="H293" s="3" t="n">
        <v>50.88</v>
      </c>
      <c r="I293" s="8" t="n">
        <v>-0.009538641230289954</v>
      </c>
    </row>
    <row r="294" ht="23" customHeight="1">
      <c r="A294" s="2" t="str">
        <v>子公司B</v>
      </c>
      <c r="B294" s="2" t="str">
        <v>2025-10</v>
      </c>
      <c r="C294" s="2" t="str">
        <v>净资产收益率</v>
      </c>
      <c r="D294" s="2" t="str">
        <v>%</v>
      </c>
      <c r="E294" s="3" t="n">
        <v>18.86</v>
      </c>
      <c r="F294" s="3"/>
      <c r="G294" s="8"/>
      <c r="H294" s="3" t="n">
        <v>2.03</v>
      </c>
      <c r="I294" s="8" t="n">
        <v>-0.10964912280701755</v>
      </c>
    </row>
    <row r="295" ht="23" customHeight="1">
      <c r="A295" s="2" t="str">
        <v>子公司B</v>
      </c>
      <c r="B295" s="2" t="str">
        <v>2025-10</v>
      </c>
      <c r="C295" s="2" t="str">
        <v>新签收入合同金额</v>
      </c>
      <c r="D295" s="2" t="str">
        <v>万元</v>
      </c>
      <c r="E295" s="7" t="n">
        <v>10390.65</v>
      </c>
      <c r="F295" s="7"/>
      <c r="G295" s="8"/>
      <c r="H295" s="7" t="n">
        <v>1072.93</v>
      </c>
      <c r="I295" s="8" t="n">
        <v>-0.309693234166302</v>
      </c>
    </row>
    <row r="296" ht="23" customHeight="1">
      <c r="A296" s="2" t="str">
        <v>子公司C</v>
      </c>
      <c r="B296" s="2" t="str">
        <v>2025-10</v>
      </c>
      <c r="C296" s="2" t="str">
        <v>营业总收入</v>
      </c>
      <c r="D296" s="2" t="str">
        <v>万元</v>
      </c>
      <c r="E296" s="7" t="n">
        <v>6824.25</v>
      </c>
      <c r="F296" s="7"/>
      <c r="G296" s="8"/>
      <c r="H296" s="7" t="n">
        <v>730.06</v>
      </c>
      <c r="I296" s="8" t="n">
        <v>-0.10413292102292251</v>
      </c>
    </row>
    <row r="297" ht="23" customHeight="1">
      <c r="A297" s="2" t="str">
        <v>子公司C</v>
      </c>
      <c r="B297" s="2" t="str">
        <v>2025-10</v>
      </c>
      <c r="C297" s="2" t="str">
        <v>利润总额</v>
      </c>
      <c r="D297" s="2" t="str">
        <v>万元</v>
      </c>
      <c r="E297" s="7" t="n">
        <v>1006.04</v>
      </c>
      <c r="F297" s="7"/>
      <c r="G297" s="8"/>
      <c r="H297" s="7" t="n">
        <v>108.41</v>
      </c>
      <c r="I297" s="8" t="n">
        <v>-0.14617626210915965</v>
      </c>
    </row>
    <row r="298" ht="23" customHeight="1">
      <c r="A298" s="2" t="str">
        <v>子公司C</v>
      </c>
      <c r="B298" s="2" t="str">
        <v>2025-10</v>
      </c>
      <c r="C298" s="2" t="str">
        <v>经营性现金流量净额</v>
      </c>
      <c r="D298" s="2" t="str">
        <v>万元</v>
      </c>
      <c r="E298" s="7" t="n">
        <v>965</v>
      </c>
      <c r="F298" s="7"/>
      <c r="G298" s="8"/>
      <c r="H298" s="7" t="n">
        <v>84.43</v>
      </c>
      <c r="I298" s="8" t="n">
        <v>-0.6018579647269641</v>
      </c>
    </row>
    <row r="299" ht="23" customHeight="1">
      <c r="A299" s="2" t="str">
        <v>子公司C</v>
      </c>
      <c r="B299" s="2" t="str">
        <v>2025-10</v>
      </c>
      <c r="C299" s="2" t="str">
        <v>资产负债率</v>
      </c>
      <c r="D299" s="2" t="str">
        <v>%</v>
      </c>
      <c r="E299" s="3" t="n">
        <v>43.98</v>
      </c>
      <c r="F299" s="3"/>
      <c r="G299" s="8"/>
      <c r="H299" s="3" t="n">
        <v>43.98</v>
      </c>
      <c r="I299" s="8" t="n">
        <v>-0.009236314485244507</v>
      </c>
    </row>
    <row r="300" ht="23" customHeight="1">
      <c r="A300" s="2" t="str">
        <v>子公司C</v>
      </c>
      <c r="B300" s="2" t="str">
        <v>2025-10</v>
      </c>
      <c r="C300" s="2" t="str">
        <v>净资产收益率</v>
      </c>
      <c r="D300" s="2" t="str">
        <v>%</v>
      </c>
      <c r="E300" s="3" t="n">
        <v>18.78</v>
      </c>
      <c r="F300" s="3"/>
      <c r="G300" s="8"/>
      <c r="H300" s="3" t="n">
        <v>1.87</v>
      </c>
      <c r="I300" s="8" t="n">
        <v>-0.16143497757847527</v>
      </c>
    </row>
    <row r="301" ht="23" customHeight="1">
      <c r="A301" s="2" t="str">
        <v>子公司C</v>
      </c>
      <c r="B301" s="2" t="str">
        <v>2025-10</v>
      </c>
      <c r="C301" s="2" t="str">
        <v>新签收入合同金额</v>
      </c>
      <c r="D301" s="2" t="str">
        <v>万元</v>
      </c>
      <c r="E301" s="7" t="n">
        <v>7801.32</v>
      </c>
      <c r="F301" s="7"/>
      <c r="G301" s="8"/>
      <c r="H301" s="7" t="n">
        <v>696.87</v>
      </c>
      <c r="I301" s="8" t="n">
        <v>-0.34384445176780754</v>
      </c>
    </row>
    <row r="302" ht="23" customHeight="1">
      <c r="A302" s="2" t="str">
        <v>集团公司（合并）</v>
      </c>
      <c r="B302" s="2" t="str">
        <v>2025-11</v>
      </c>
      <c r="C302" s="2" t="str">
        <v>营业总收入</v>
      </c>
      <c r="D302" s="2" t="str">
        <v>万元</v>
      </c>
      <c r="E302" s="7" t="n">
        <v>46969.25</v>
      </c>
      <c r="F302" s="7"/>
      <c r="G302" s="8"/>
      <c r="H302" s="7" t="n">
        <v>4897.89</v>
      </c>
      <c r="I302" s="8" t="n">
        <v>0.08204554944096006</v>
      </c>
    </row>
    <row r="303" ht="23" customHeight="1">
      <c r="A303" s="2" t="str">
        <v>集团公司（合并）</v>
      </c>
      <c r="B303" s="2" t="str">
        <v>2025-11</v>
      </c>
      <c r="C303" s="2" t="str">
        <v>利润总额</v>
      </c>
      <c r="D303" s="2" t="str">
        <v>万元</v>
      </c>
      <c r="E303" s="7" t="n">
        <v>5691.78</v>
      </c>
      <c r="F303" s="7"/>
      <c r="G303" s="8"/>
      <c r="H303" s="7" t="n">
        <v>620.27</v>
      </c>
      <c r="I303" s="8" t="n">
        <v>0.09110258936110323</v>
      </c>
    </row>
    <row r="304" ht="23" customHeight="1">
      <c r="A304" s="2" t="str">
        <v>集团公司（合并）</v>
      </c>
      <c r="B304" s="2" t="str">
        <v>2025-11</v>
      </c>
      <c r="C304" s="2" t="str">
        <v>经营性现金流量净额</v>
      </c>
      <c r="D304" s="2" t="str">
        <v>万元</v>
      </c>
      <c r="E304" s="7" t="n">
        <v>5762.04</v>
      </c>
      <c r="F304" s="7"/>
      <c r="G304" s="8"/>
      <c r="H304" s="7" t="n">
        <v>500.72</v>
      </c>
      <c r="I304" s="8" t="n">
        <v>0.09213051823416508</v>
      </c>
    </row>
    <row r="305" ht="23" customHeight="1">
      <c r="A305" s="2" t="str">
        <v>集团公司（合并）</v>
      </c>
      <c r="B305" s="2" t="str">
        <v>2025-11</v>
      </c>
      <c r="C305" s="2" t="str">
        <v>资产负债率</v>
      </c>
      <c r="D305" s="2" t="str">
        <v>%</v>
      </c>
      <c r="E305" s="3" t="n">
        <v>55.36</v>
      </c>
      <c r="F305" s="3"/>
      <c r="G305" s="8"/>
      <c r="H305" s="3" t="n">
        <v>55.36</v>
      </c>
      <c r="I305" s="8" t="n">
        <v>-0.007707474457788129</v>
      </c>
    </row>
    <row r="306" ht="23" customHeight="1">
      <c r="A306" s="2" t="str">
        <v>集团公司（合并）</v>
      </c>
      <c r="B306" s="2" t="str">
        <v>2025-11</v>
      </c>
      <c r="C306" s="2" t="str">
        <v>净资产收益率</v>
      </c>
      <c r="D306" s="2" t="str">
        <v>%</v>
      </c>
      <c r="E306" s="3" t="n">
        <v>18.57</v>
      </c>
      <c r="F306" s="3"/>
      <c r="G306" s="8"/>
      <c r="H306" s="3" t="n">
        <v>1.87</v>
      </c>
      <c r="I306" s="8" t="n">
        <v>0.07471264367816098</v>
      </c>
    </row>
    <row r="307" ht="23" customHeight="1">
      <c r="A307" s="2" t="str">
        <v>集团公司（合并）</v>
      </c>
      <c r="B307" s="2" t="str">
        <v>2025-11</v>
      </c>
      <c r="C307" s="2" t="str">
        <v>新签收入合同金额</v>
      </c>
      <c r="D307" s="2" t="str">
        <v>万元</v>
      </c>
      <c r="E307" s="7" t="n">
        <v>56096.72</v>
      </c>
      <c r="F307" s="7"/>
      <c r="G307" s="8"/>
      <c r="H307" s="7" t="n">
        <v>5648.43</v>
      </c>
      <c r="I307" s="8" t="n">
        <v>0.043576341737843687</v>
      </c>
    </row>
    <row r="308" ht="23" customHeight="1">
      <c r="A308" s="2" t="str">
        <v>集团公司（本部）</v>
      </c>
      <c r="B308" s="2" t="str">
        <v>2025-11</v>
      </c>
      <c r="C308" s="2" t="str">
        <v>营业总收入</v>
      </c>
      <c r="D308" s="2" t="str">
        <v>万元</v>
      </c>
      <c r="E308" s="7" t="n">
        <v>20618.73</v>
      </c>
      <c r="F308" s="7"/>
      <c r="G308" s="8"/>
      <c r="H308" s="7" t="n">
        <v>2172.95</v>
      </c>
      <c r="I308" s="8" t="n">
        <v>0.10066254014243589</v>
      </c>
    </row>
    <row r="309" ht="23" customHeight="1">
      <c r="A309" s="2" t="str">
        <v>集团公司（本部）</v>
      </c>
      <c r="B309" s="2" t="str">
        <v>2025-11</v>
      </c>
      <c r="C309" s="2" t="str">
        <v>利润总额</v>
      </c>
      <c r="D309" s="2" t="str">
        <v>万元</v>
      </c>
      <c r="E309" s="7" t="n">
        <v>2176.39</v>
      </c>
      <c r="F309" s="7"/>
      <c r="G309" s="8"/>
      <c r="H309" s="7" t="n">
        <v>245.29</v>
      </c>
      <c r="I309" s="8" t="n">
        <v>0.18103904858202124</v>
      </c>
    </row>
    <row r="310" ht="23" customHeight="1">
      <c r="A310" s="2" t="str">
        <v>集团公司（本部）</v>
      </c>
      <c r="B310" s="2" t="str">
        <v>2025-11</v>
      </c>
      <c r="C310" s="2" t="str">
        <v>经营性现金流量净额</v>
      </c>
      <c r="D310" s="2" t="str">
        <v>万元</v>
      </c>
      <c r="E310" s="7" t="n">
        <v>2075.57</v>
      </c>
      <c r="F310" s="7"/>
      <c r="G310" s="8"/>
      <c r="H310" s="7" t="n">
        <v>181.65</v>
      </c>
      <c r="I310" s="8" t="n">
        <v>0.19988110179007876</v>
      </c>
    </row>
    <row r="311" ht="23" customHeight="1">
      <c r="A311" s="2" t="str">
        <v>集团公司（本部）</v>
      </c>
      <c r="B311" s="2" t="str">
        <v>2025-11</v>
      </c>
      <c r="C311" s="2" t="str">
        <v>资产负债率</v>
      </c>
      <c r="D311" s="2" t="str">
        <v>%</v>
      </c>
      <c r="E311" s="3" t="n">
        <v>55</v>
      </c>
      <c r="F311" s="3"/>
      <c r="G311" s="8"/>
      <c r="H311" s="3" t="n">
        <v>55</v>
      </c>
      <c r="I311" s="8" t="n">
        <v>-0.006323396567299032</v>
      </c>
    </row>
    <row r="312" ht="23" customHeight="1">
      <c r="A312" s="2" t="str">
        <v>集团公司（本部）</v>
      </c>
      <c r="B312" s="2" t="str">
        <v>2025-11</v>
      </c>
      <c r="C312" s="2" t="str">
        <v>净资产收益率</v>
      </c>
      <c r="D312" s="2" t="str">
        <v>%</v>
      </c>
      <c r="E312" s="3" t="n">
        <v>14.42</v>
      </c>
      <c r="F312" s="3"/>
      <c r="G312" s="8"/>
      <c r="H312" s="3" t="n">
        <v>1.53</v>
      </c>
      <c r="I312" s="8" t="n">
        <v>0.1679389312977099</v>
      </c>
    </row>
    <row r="313" ht="23" customHeight="1">
      <c r="A313" s="2" t="str">
        <v>集团公司（本部）</v>
      </c>
      <c r="B313" s="2" t="str">
        <v>2025-11</v>
      </c>
      <c r="C313" s="2" t="str">
        <v>新签收入合同金额</v>
      </c>
      <c r="D313" s="2" t="str">
        <v>万元</v>
      </c>
      <c r="E313" s="7" t="n">
        <v>24232.01</v>
      </c>
      <c r="F313" s="7"/>
      <c r="G313" s="8"/>
      <c r="H313" s="7" t="n">
        <v>2721.67</v>
      </c>
      <c r="I313" s="8" t="n">
        <v>0.13185506173558287</v>
      </c>
    </row>
    <row r="314" ht="23" customHeight="1">
      <c r="A314" s="2" t="str">
        <v>子公司A</v>
      </c>
      <c r="B314" s="2" t="str">
        <v>2025-11</v>
      </c>
      <c r="C314" s="2" t="str">
        <v>营业总收入</v>
      </c>
      <c r="D314" s="2" t="str">
        <v>万元</v>
      </c>
      <c r="E314" s="7" t="n">
        <v>12130.9</v>
      </c>
      <c r="F314" s="7"/>
      <c r="G314" s="8"/>
      <c r="H314" s="7" t="n">
        <v>1269.85</v>
      </c>
      <c r="I314" s="8" t="n">
        <v>0.07921709273864547</v>
      </c>
    </row>
    <row r="315" ht="23" customHeight="1">
      <c r="A315" s="2" t="str">
        <v>子公司A</v>
      </c>
      <c r="B315" s="2" t="str">
        <v>2025-11</v>
      </c>
      <c r="C315" s="2" t="str">
        <v>利润总额</v>
      </c>
      <c r="D315" s="2" t="str">
        <v>万元</v>
      </c>
      <c r="E315" s="7" t="n">
        <v>1464.52</v>
      </c>
      <c r="F315" s="7"/>
      <c r="G315" s="8"/>
      <c r="H315" s="7" t="n">
        <v>166.19</v>
      </c>
      <c r="I315" s="8" t="n">
        <v>0.09313951193843319</v>
      </c>
    </row>
    <row r="316" ht="23" customHeight="1">
      <c r="A316" s="2" t="str">
        <v>子公司A</v>
      </c>
      <c r="B316" s="2" t="str">
        <v>2025-11</v>
      </c>
      <c r="C316" s="2" t="str">
        <v>经营性现金流量净额</v>
      </c>
      <c r="D316" s="2" t="str">
        <v>万元</v>
      </c>
      <c r="E316" s="7" t="n">
        <v>1385.73</v>
      </c>
      <c r="F316" s="7"/>
      <c r="G316" s="8"/>
      <c r="H316" s="7" t="n">
        <v>126.71</v>
      </c>
      <c r="I316" s="8" t="n">
        <v>0.0956333765672286</v>
      </c>
    </row>
    <row r="317" ht="23" customHeight="1">
      <c r="A317" s="2" t="str">
        <v>子公司A</v>
      </c>
      <c r="B317" s="2" t="str">
        <v>2025-11</v>
      </c>
      <c r="C317" s="2" t="str">
        <v>资产负债率</v>
      </c>
      <c r="D317" s="2" t="str">
        <v>%</v>
      </c>
      <c r="E317" s="3" t="n">
        <v>57.71</v>
      </c>
      <c r="F317" s="3"/>
      <c r="G317" s="8"/>
      <c r="H317" s="3" t="n">
        <v>57.71</v>
      </c>
      <c r="I317" s="8" t="n">
        <v>-0.00841924398625433</v>
      </c>
    </row>
    <row r="318" ht="23" customHeight="1">
      <c r="A318" s="2" t="str">
        <v>子公司A</v>
      </c>
      <c r="B318" s="2" t="str">
        <v>2025-11</v>
      </c>
      <c r="C318" s="2" t="str">
        <v>净资产收益率</v>
      </c>
      <c r="D318" s="2" t="str">
        <v>%</v>
      </c>
      <c r="E318" s="3" t="n">
        <v>20.01</v>
      </c>
      <c r="F318" s="3"/>
      <c r="G318" s="8"/>
      <c r="H318" s="3" t="n">
        <v>2.09</v>
      </c>
      <c r="I318" s="8" t="n">
        <v>0.07179487179487175</v>
      </c>
    </row>
    <row r="319" ht="23" customHeight="1">
      <c r="A319" s="2" t="str">
        <v>子公司A</v>
      </c>
      <c r="B319" s="2" t="str">
        <v>2025-11</v>
      </c>
      <c r="C319" s="2" t="str">
        <v>新签收入合同金额</v>
      </c>
      <c r="D319" s="2" t="str">
        <v>万元</v>
      </c>
      <c r="E319" s="7" t="n">
        <v>14309.19</v>
      </c>
      <c r="F319" s="7"/>
      <c r="G319" s="8"/>
      <c r="H319" s="7" t="n">
        <v>1461.21</v>
      </c>
      <c r="I319" s="8" t="n">
        <v>-0.0016875273283778061</v>
      </c>
    </row>
    <row r="320" ht="23" customHeight="1">
      <c r="A320" s="2" t="str">
        <v>子公司B</v>
      </c>
      <c r="B320" s="2" t="str">
        <v>2025-11</v>
      </c>
      <c r="C320" s="2" t="str">
        <v>营业总收入</v>
      </c>
      <c r="D320" s="2" t="str">
        <v>万元</v>
      </c>
      <c r="E320" s="7" t="n">
        <v>9884.37</v>
      </c>
      <c r="F320" s="7"/>
      <c r="G320" s="8"/>
      <c r="H320" s="7" t="n">
        <v>1019.34</v>
      </c>
      <c r="I320" s="8" t="n">
        <v>0.06151394920178705</v>
      </c>
    </row>
    <row r="321" ht="23" customHeight="1">
      <c r="A321" s="2" t="str">
        <v>子公司B</v>
      </c>
      <c r="B321" s="2" t="str">
        <v>2025-11</v>
      </c>
      <c r="C321" s="2" t="str">
        <v>利润总额</v>
      </c>
      <c r="D321" s="2" t="str">
        <v>万元</v>
      </c>
      <c r="E321" s="7" t="n">
        <v>1327.62</v>
      </c>
      <c r="F321" s="7"/>
      <c r="G321" s="8"/>
      <c r="H321" s="7" t="n">
        <v>140.61</v>
      </c>
      <c r="I321" s="8" t="n">
        <v>0.01810151328651075</v>
      </c>
    </row>
    <row r="322" ht="23" customHeight="1">
      <c r="A322" s="2" t="str">
        <v>子公司B</v>
      </c>
      <c r="B322" s="2" t="str">
        <v>2025-11</v>
      </c>
      <c r="C322" s="2" t="str">
        <v>经营性现金流量净额</v>
      </c>
      <c r="D322" s="2" t="str">
        <v>万元</v>
      </c>
      <c r="E322" s="7" t="n">
        <v>1251.58</v>
      </c>
      <c r="F322" s="7"/>
      <c r="G322" s="8"/>
      <c r="H322" s="7" t="n">
        <v>108.2</v>
      </c>
      <c r="I322" s="8" t="n">
        <v>0.011120456032146507</v>
      </c>
    </row>
    <row r="323" ht="23" customHeight="1">
      <c r="A323" s="2" t="str">
        <v>子公司B</v>
      </c>
      <c r="B323" s="2" t="str">
        <v>2025-11</v>
      </c>
      <c r="C323" s="2" t="str">
        <v>资产负债率</v>
      </c>
      <c r="D323" s="2" t="str">
        <v>%</v>
      </c>
      <c r="E323" s="3" t="n">
        <v>50.42</v>
      </c>
      <c r="F323" s="3"/>
      <c r="G323" s="8"/>
      <c r="H323" s="3" t="n">
        <v>50.42</v>
      </c>
      <c r="I323" s="8" t="n">
        <v>-0.009040880503144671</v>
      </c>
    </row>
    <row r="324" ht="23" customHeight="1">
      <c r="A324" s="2" t="str">
        <v>子公司B</v>
      </c>
      <c r="B324" s="2" t="str">
        <v>2025-11</v>
      </c>
      <c r="C324" s="2" t="str">
        <v>净资产收益率</v>
      </c>
      <c r="D324" s="2" t="str">
        <v>%</v>
      </c>
      <c r="E324" s="3" t="n">
        <v>20.86</v>
      </c>
      <c r="F324" s="3"/>
      <c r="G324" s="8"/>
      <c r="H324" s="3" t="n">
        <v>2.02</v>
      </c>
      <c r="I324" s="8" t="n">
        <v>-0.0049261083743841316</v>
      </c>
    </row>
    <row r="325" ht="23" customHeight="1">
      <c r="A325" s="2" t="str">
        <v>子公司B</v>
      </c>
      <c r="B325" s="2" t="str">
        <v>2025-11</v>
      </c>
      <c r="C325" s="2" t="str">
        <v>新签收入合同金额</v>
      </c>
      <c r="D325" s="2" t="str">
        <v>万元</v>
      </c>
      <c r="E325" s="7" t="n">
        <v>11391.68</v>
      </c>
      <c r="F325" s="7"/>
      <c r="G325" s="8"/>
      <c r="H325" s="7" t="n">
        <v>1001.03</v>
      </c>
      <c r="I325" s="8" t="n">
        <v>-0.06701275945308649</v>
      </c>
    </row>
    <row r="326" ht="23" customHeight="1">
      <c r="A326" s="2" t="str">
        <v>子公司C</v>
      </c>
      <c r="B326" s="2" t="str">
        <v>2025-11</v>
      </c>
      <c r="C326" s="2" t="str">
        <v>营业总收入</v>
      </c>
      <c r="D326" s="2" t="str">
        <v>万元</v>
      </c>
      <c r="E326" s="7" t="n">
        <v>7600.5</v>
      </c>
      <c r="F326" s="7"/>
      <c r="G326" s="8"/>
      <c r="H326" s="7" t="n">
        <v>776.25</v>
      </c>
      <c r="I326" s="8" t="n">
        <v>0.06326877242966339</v>
      </c>
    </row>
    <row r="327" ht="23" customHeight="1">
      <c r="A327" s="2" t="str">
        <v>子公司C</v>
      </c>
      <c r="B327" s="2" t="str">
        <v>2025-11</v>
      </c>
      <c r="C327" s="2" t="str">
        <v>利润总额</v>
      </c>
      <c r="D327" s="2" t="str">
        <v>万元</v>
      </c>
      <c r="E327" s="7" t="n">
        <v>1115.08</v>
      </c>
      <c r="F327" s="7"/>
      <c r="G327" s="8"/>
      <c r="H327" s="7" t="n">
        <v>109.04</v>
      </c>
      <c r="I327" s="8" t="n">
        <v>0.005811272022876208</v>
      </c>
    </row>
    <row r="328" ht="23" customHeight="1">
      <c r="A328" s="2" t="str">
        <v>子公司C</v>
      </c>
      <c r="B328" s="2" t="str">
        <v>2025-11</v>
      </c>
      <c r="C328" s="2" t="str">
        <v>经营性现金流量净额</v>
      </c>
      <c r="D328" s="2" t="str">
        <v>万元</v>
      </c>
      <c r="E328" s="7" t="n">
        <v>1049.16</v>
      </c>
      <c r="F328" s="7"/>
      <c r="G328" s="8"/>
      <c r="H328" s="7" t="n">
        <v>84.16</v>
      </c>
      <c r="I328" s="8" t="n">
        <v>-0.0031979154329031174</v>
      </c>
    </row>
    <row r="329" ht="23" customHeight="1">
      <c r="A329" s="2" t="str">
        <v>子公司C</v>
      </c>
      <c r="B329" s="2" t="str">
        <v>2025-11</v>
      </c>
      <c r="C329" s="2" t="str">
        <v>资产负债率</v>
      </c>
      <c r="D329" s="2" t="str">
        <v>%</v>
      </c>
      <c r="E329" s="3" t="n">
        <v>43.63</v>
      </c>
      <c r="F329" s="3"/>
      <c r="G329" s="8"/>
      <c r="H329" s="3" t="n">
        <v>43.63</v>
      </c>
      <c r="I329" s="8" t="n">
        <v>-0.007958162801273178</v>
      </c>
    </row>
    <row r="330" ht="23" customHeight="1">
      <c r="A330" s="2" t="str">
        <v>子公司C</v>
      </c>
      <c r="B330" s="2" t="str">
        <v>2025-11</v>
      </c>
      <c r="C330" s="2" t="str">
        <v>净资产收益率</v>
      </c>
      <c r="D330" s="2" t="str">
        <v>%</v>
      </c>
      <c r="E330" s="3" t="n">
        <v>20.61</v>
      </c>
      <c r="F330" s="3"/>
      <c r="G330" s="8"/>
      <c r="H330" s="3" t="n">
        <v>1.84</v>
      </c>
      <c r="I330" s="8" t="n">
        <v>-0.016042780748663114</v>
      </c>
    </row>
    <row r="331" ht="23" customHeight="1">
      <c r="A331" s="2" t="str">
        <v>子公司C</v>
      </c>
      <c r="B331" s="2" t="str">
        <v>2025-11</v>
      </c>
      <c r="C331" s="2" t="str">
        <v>新签收入合同金额</v>
      </c>
      <c r="D331" s="2" t="str">
        <v>万元</v>
      </c>
      <c r="E331" s="7" t="n">
        <v>8501.19</v>
      </c>
      <c r="F331" s="7"/>
      <c r="G331" s="8"/>
      <c r="H331" s="7" t="n">
        <v>699.87</v>
      </c>
      <c r="I331" s="8" t="n">
        <v>0.004304963623057385</v>
      </c>
    </row>
    <row r="332" ht="23" customHeight="1">
      <c r="A332" s="2" t="str">
        <v>集团公司（合并）</v>
      </c>
      <c r="B332" s="2" t="str">
        <v>2025-12</v>
      </c>
      <c r="C332" s="2" t="str">
        <v>营业总收入</v>
      </c>
      <c r="D332" s="2" t="str">
        <v>万元</v>
      </c>
      <c r="E332" s="7" t="n">
        <v>52753.74</v>
      </c>
      <c r="F332" s="7"/>
      <c r="G332" s="8"/>
      <c r="H332" s="7" t="n">
        <v>5784.49</v>
      </c>
      <c r="I332" s="8" t="n">
        <v>0.18101672352788636</v>
      </c>
    </row>
    <row r="333" ht="23" customHeight="1">
      <c r="A333" s="2" t="str">
        <v>集团公司（合并）</v>
      </c>
      <c r="B333" s="2" t="str">
        <v>2025-12</v>
      </c>
      <c r="C333" s="2" t="str">
        <v>利润总额</v>
      </c>
      <c r="D333" s="2" t="str">
        <v>万元</v>
      </c>
      <c r="E333" s="7" t="n">
        <v>6414.41</v>
      </c>
      <c r="F333" s="7"/>
      <c r="G333" s="8"/>
      <c r="H333" s="7" t="n">
        <v>722.63</v>
      </c>
      <c r="I333" s="8" t="n">
        <v>0.16502490850758544</v>
      </c>
    </row>
    <row r="334" ht="23" customHeight="1">
      <c r="A334" s="2" t="str">
        <v>集团公司（合并）</v>
      </c>
      <c r="B334" s="2" t="str">
        <v>2025-12</v>
      </c>
      <c r="C334" s="2" t="str">
        <v>经营性现金流量净额</v>
      </c>
      <c r="D334" s="2" t="str">
        <v>万元</v>
      </c>
      <c r="E334" s="7" t="n">
        <v>7198.23</v>
      </c>
      <c r="F334" s="7"/>
      <c r="G334" s="8"/>
      <c r="H334" s="7" t="n">
        <v>1436.19</v>
      </c>
      <c r="I334" s="8" t="n">
        <v>1.8682497204026203</v>
      </c>
    </row>
    <row r="335" ht="23" customHeight="1">
      <c r="A335" s="2" t="str">
        <v>集团公司（合并）</v>
      </c>
      <c r="B335" s="2" t="str">
        <v>2025-12</v>
      </c>
      <c r="C335" s="2" t="str">
        <v>资产负债率</v>
      </c>
      <c r="D335" s="2" t="str">
        <v>%</v>
      </c>
      <c r="E335" s="3" t="n">
        <v>56.01</v>
      </c>
      <c r="F335" s="3"/>
      <c r="G335" s="8"/>
      <c r="H335" s="3" t="n">
        <v>56.01</v>
      </c>
      <c r="I335" s="8" t="n">
        <v>0.011741329479768761</v>
      </c>
    </row>
    <row r="336" ht="23" customHeight="1">
      <c r="A336" s="2" t="str">
        <v>集团公司（合并）</v>
      </c>
      <c r="B336" s="2" t="str">
        <v>2025-12</v>
      </c>
      <c r="C336" s="2" t="str">
        <v>净资产收益率</v>
      </c>
      <c r="D336" s="2" t="str">
        <v>%</v>
      </c>
      <c r="E336" s="3" t="n">
        <v>21.21</v>
      </c>
      <c r="F336" s="3"/>
      <c r="G336" s="8"/>
      <c r="H336" s="3" t="n">
        <v>2.18</v>
      </c>
      <c r="I336" s="8" t="n">
        <v>0.16577540106951874</v>
      </c>
    </row>
    <row r="337" ht="23" customHeight="1">
      <c r="A337" s="2" t="str">
        <v>集团公司（合并）</v>
      </c>
      <c r="B337" s="2" t="str">
        <v>2025-12</v>
      </c>
      <c r="C337" s="2" t="str">
        <v>新签收入合同金额</v>
      </c>
      <c r="D337" s="2" t="str">
        <v>万元</v>
      </c>
      <c r="E337" s="7" t="n">
        <v>63628.02</v>
      </c>
      <c r="F337" s="7"/>
      <c r="G337" s="8"/>
      <c r="H337" s="7" t="n">
        <v>7531.3</v>
      </c>
      <c r="I337" s="8" t="n">
        <v>0.33334395575407677</v>
      </c>
    </row>
    <row r="338" ht="23" customHeight="1">
      <c r="A338" s="2" t="str">
        <v>集团公司（本部）</v>
      </c>
      <c r="B338" s="2" t="str">
        <v>2025-12</v>
      </c>
      <c r="C338" s="2" t="str">
        <v>营业总收入</v>
      </c>
      <c r="D338" s="2" t="str">
        <v>万元</v>
      </c>
      <c r="E338" s="7" t="n">
        <v>23183.88</v>
      </c>
      <c r="F338" s="7"/>
      <c r="G338" s="8"/>
      <c r="H338" s="7" t="n">
        <v>2565.15</v>
      </c>
      <c r="I338" s="8" t="n">
        <v>0.1804919579373664</v>
      </c>
    </row>
    <row r="339" ht="23" customHeight="1">
      <c r="A339" s="2" t="str">
        <v>集团公司（本部）</v>
      </c>
      <c r="B339" s="2" t="str">
        <v>2025-12</v>
      </c>
      <c r="C339" s="2" t="str">
        <v>利润总额</v>
      </c>
      <c r="D339" s="2" t="str">
        <v>万元</v>
      </c>
      <c r="E339" s="7" t="n">
        <v>2476.15</v>
      </c>
      <c r="F339" s="7"/>
      <c r="G339" s="8"/>
      <c r="H339" s="7" t="n">
        <v>299.76</v>
      </c>
      <c r="I339" s="8" t="n">
        <v>0.22206367972603858</v>
      </c>
    </row>
    <row r="340" ht="23" customHeight="1">
      <c r="A340" s="2" t="str">
        <v>集团公司（本部）</v>
      </c>
      <c r="B340" s="2" t="str">
        <v>2025-12</v>
      </c>
      <c r="C340" s="2" t="str">
        <v>经营性现金流量净额</v>
      </c>
      <c r="D340" s="2" t="str">
        <v>万元</v>
      </c>
      <c r="E340" s="7" t="n">
        <v>2653.17</v>
      </c>
      <c r="F340" s="7"/>
      <c r="G340" s="8"/>
      <c r="H340" s="7" t="n">
        <v>577.6</v>
      </c>
      <c r="I340" s="8" t="n">
        <v>2.179741260666116</v>
      </c>
    </row>
    <row r="341" ht="23" customHeight="1">
      <c r="A341" s="2" t="str">
        <v>集团公司（本部）</v>
      </c>
      <c r="B341" s="2" t="str">
        <v>2025-12</v>
      </c>
      <c r="C341" s="2" t="str">
        <v>资产负债率</v>
      </c>
      <c r="D341" s="2" t="str">
        <v>%</v>
      </c>
      <c r="E341" s="3" t="n">
        <v>55.49</v>
      </c>
      <c r="F341" s="3"/>
      <c r="G341" s="8"/>
      <c r="H341" s="3" t="n">
        <v>55.49</v>
      </c>
      <c r="I341" s="8" t="n">
        <v>0.008909090909090945</v>
      </c>
    </row>
    <row r="342" ht="23" customHeight="1">
      <c r="A342" s="2" t="str">
        <v>集团公司（本部）</v>
      </c>
      <c r="B342" s="2" t="str">
        <v>2025-12</v>
      </c>
      <c r="C342" s="2" t="str">
        <v>净资产收益率</v>
      </c>
      <c r="D342" s="2" t="str">
        <v>%</v>
      </c>
      <c r="E342" s="3" t="n">
        <v>16.58</v>
      </c>
      <c r="F342" s="3"/>
      <c r="G342" s="8"/>
      <c r="H342" s="3" t="n">
        <v>1.87</v>
      </c>
      <c r="I342" s="8" t="n">
        <v>0.22222222222222227</v>
      </c>
    </row>
    <row r="343" ht="23" customHeight="1">
      <c r="A343" s="2" t="str">
        <v>集团公司（本部）</v>
      </c>
      <c r="B343" s="2" t="str">
        <v>2025-12</v>
      </c>
      <c r="C343" s="2" t="str">
        <v>新签收入合同金额</v>
      </c>
      <c r="D343" s="2" t="str">
        <v>万元</v>
      </c>
      <c r="E343" s="7" t="n">
        <v>27880.26</v>
      </c>
      <c r="F343" s="7"/>
      <c r="G343" s="8"/>
      <c r="H343" s="7" t="n">
        <v>3648.25</v>
      </c>
      <c r="I343" s="8" t="n">
        <v>0.34044538830938353</v>
      </c>
    </row>
    <row r="344" ht="23" customHeight="1">
      <c r="A344" s="2" t="str">
        <v>子公司A</v>
      </c>
      <c r="B344" s="2" t="str">
        <v>2025-12</v>
      </c>
      <c r="C344" s="2" t="str">
        <v>营业总收入</v>
      </c>
      <c r="D344" s="2" t="str">
        <v>万元</v>
      </c>
      <c r="E344" s="7" t="n">
        <v>13614.47</v>
      </c>
      <c r="F344" s="7"/>
      <c r="G344" s="8"/>
      <c r="H344" s="7" t="n">
        <v>1483.57</v>
      </c>
      <c r="I344" s="8" t="n">
        <v>0.16830334291451748</v>
      </c>
    </row>
    <row r="345" ht="23" customHeight="1">
      <c r="A345" s="2" t="str">
        <v>子公司A</v>
      </c>
      <c r="B345" s="2" t="str">
        <v>2025-12</v>
      </c>
      <c r="C345" s="2" t="str">
        <v>利润总额</v>
      </c>
      <c r="D345" s="2" t="str">
        <v>万元</v>
      </c>
      <c r="E345" s="7" t="n">
        <v>1652.87</v>
      </c>
      <c r="F345" s="7"/>
      <c r="G345" s="8"/>
      <c r="H345" s="7" t="n">
        <v>188.35</v>
      </c>
      <c r="I345" s="8" t="n">
        <v>0.1333413562789578</v>
      </c>
    </row>
    <row r="346" ht="23" customHeight="1">
      <c r="A346" s="2" t="str">
        <v>子公司A</v>
      </c>
      <c r="B346" s="2" t="str">
        <v>2025-12</v>
      </c>
      <c r="C346" s="2" t="str">
        <v>经营性现金流量净额</v>
      </c>
      <c r="D346" s="2" t="str">
        <v>万元</v>
      </c>
      <c r="E346" s="7" t="n">
        <v>1733.27</v>
      </c>
      <c r="F346" s="7"/>
      <c r="G346" s="8"/>
      <c r="H346" s="7" t="n">
        <v>347.54</v>
      </c>
      <c r="I346" s="8" t="n">
        <v>1.7427985162970567</v>
      </c>
    </row>
    <row r="347" ht="23" customHeight="1">
      <c r="A347" s="2" t="str">
        <v>子公司A</v>
      </c>
      <c r="B347" s="2" t="str">
        <v>2025-12</v>
      </c>
      <c r="C347" s="2" t="str">
        <v>资产负债率</v>
      </c>
      <c r="D347" s="2" t="str">
        <v>%</v>
      </c>
      <c r="E347" s="3" t="n">
        <v>58.33</v>
      </c>
      <c r="F347" s="3"/>
      <c r="G347" s="8"/>
      <c r="H347" s="3" t="n">
        <v>58.33</v>
      </c>
      <c r="I347" s="8" t="n">
        <v>0.010743372032576632</v>
      </c>
    </row>
    <row r="348" ht="23" customHeight="1">
      <c r="A348" s="2" t="str">
        <v>子公司A</v>
      </c>
      <c r="B348" s="2" t="str">
        <v>2025-12</v>
      </c>
      <c r="C348" s="2" t="str">
        <v>净资产收益率</v>
      </c>
      <c r="D348" s="2" t="str">
        <v>%</v>
      </c>
      <c r="E348" s="3" t="n">
        <v>22.88</v>
      </c>
      <c r="F348" s="3"/>
      <c r="G348" s="8"/>
      <c r="H348" s="3" t="n">
        <v>2.37</v>
      </c>
      <c r="I348" s="8" t="n">
        <v>0.13397129186602882</v>
      </c>
    </row>
    <row r="349" ht="23" customHeight="1">
      <c r="A349" s="2" t="str">
        <v>子公司A</v>
      </c>
      <c r="B349" s="2" t="str">
        <v>2025-12</v>
      </c>
      <c r="C349" s="2" t="str">
        <v>新签收入合同金额</v>
      </c>
      <c r="D349" s="2" t="str">
        <v>万元</v>
      </c>
      <c r="E349" s="7" t="n">
        <v>16119.38</v>
      </c>
      <c r="F349" s="7"/>
      <c r="G349" s="8"/>
      <c r="H349" s="7" t="n">
        <v>1810.19</v>
      </c>
      <c r="I349" s="8" t="n">
        <v>0.2388294632530574</v>
      </c>
    </row>
    <row r="350" ht="23" customHeight="1">
      <c r="A350" s="2" t="str">
        <v>子公司B</v>
      </c>
      <c r="B350" s="2" t="str">
        <v>2025-12</v>
      </c>
      <c r="C350" s="2" t="str">
        <v>营业总收入</v>
      </c>
      <c r="D350" s="2" t="str">
        <v>万元</v>
      </c>
      <c r="E350" s="7" t="n">
        <v>11086.93</v>
      </c>
      <c r="F350" s="7"/>
      <c r="G350" s="8"/>
      <c r="H350" s="7" t="n">
        <v>1202.56</v>
      </c>
      <c r="I350" s="8" t="n">
        <v>0.1797437557635332</v>
      </c>
    </row>
    <row r="351" ht="23" customHeight="1">
      <c r="A351" s="2" t="str">
        <v>子公司B</v>
      </c>
      <c r="B351" s="2" t="str">
        <v>2025-12</v>
      </c>
      <c r="C351" s="2" t="str">
        <v>利润总额</v>
      </c>
      <c r="D351" s="2" t="str">
        <v>万元</v>
      </c>
      <c r="E351" s="7" t="n">
        <v>1483.64</v>
      </c>
      <c r="F351" s="7"/>
      <c r="G351" s="8"/>
      <c r="H351" s="7" t="n">
        <v>156.02</v>
      </c>
      <c r="I351" s="8" t="n">
        <v>0.10959391223952773</v>
      </c>
    </row>
    <row r="352" ht="23" customHeight="1">
      <c r="A352" s="2" t="str">
        <v>子公司B</v>
      </c>
      <c r="B352" s="2" t="str">
        <v>2025-12</v>
      </c>
      <c r="C352" s="2" t="str">
        <v>经营性现金流量净额</v>
      </c>
      <c r="D352" s="2" t="str">
        <v>万元</v>
      </c>
      <c r="E352" s="7" t="n">
        <v>1536.31</v>
      </c>
      <c r="F352" s="7"/>
      <c r="G352" s="8"/>
      <c r="H352" s="7" t="n">
        <v>284.73</v>
      </c>
      <c r="I352" s="8" t="n">
        <v>1.6315157116451018</v>
      </c>
    </row>
    <row r="353" ht="23" customHeight="1">
      <c r="A353" s="2" t="str">
        <v>子公司B</v>
      </c>
      <c r="B353" s="2" t="str">
        <v>2025-12</v>
      </c>
      <c r="C353" s="2" t="str">
        <v>资产负债率</v>
      </c>
      <c r="D353" s="2" t="str">
        <v>%</v>
      </c>
      <c r="E353" s="3" t="n">
        <v>51.09</v>
      </c>
      <c r="F353" s="3"/>
      <c r="G353" s="8"/>
      <c r="H353" s="3" t="n">
        <v>51.09</v>
      </c>
      <c r="I353" s="8" t="n">
        <v>0.01328837762792546</v>
      </c>
    </row>
    <row r="354" ht="23" customHeight="1">
      <c r="A354" s="2" t="str">
        <v>子公司B</v>
      </c>
      <c r="B354" s="2" t="str">
        <v>2025-12</v>
      </c>
      <c r="C354" s="2" t="str">
        <v>净资产收益率</v>
      </c>
      <c r="D354" s="2" t="str">
        <v>%</v>
      </c>
      <c r="E354" s="3" t="n">
        <v>23.6</v>
      </c>
      <c r="F354" s="3"/>
      <c r="G354" s="8"/>
      <c r="H354" s="3" t="n">
        <v>2.25</v>
      </c>
      <c r="I354" s="8" t="n">
        <v>0.11386138613861385</v>
      </c>
    </row>
    <row r="355" ht="23" customHeight="1">
      <c r="A355" s="2" t="str">
        <v>子公司B</v>
      </c>
      <c r="B355" s="2" t="str">
        <v>2025-12</v>
      </c>
      <c r="C355" s="2" t="str">
        <v>新签收入合同金额</v>
      </c>
      <c r="D355" s="2" t="str">
        <v>万元</v>
      </c>
      <c r="E355" s="7" t="n">
        <v>12702.05</v>
      </c>
      <c r="F355" s="7"/>
      <c r="G355" s="8"/>
      <c r="H355" s="7" t="n">
        <v>1310.37</v>
      </c>
      <c r="I355" s="8" t="n">
        <v>0.3090217076411296</v>
      </c>
    </row>
    <row r="356" ht="23" customHeight="1">
      <c r="A356" s="2" t="str">
        <v>子公司C</v>
      </c>
      <c r="B356" s="2" t="str">
        <v>2025-12</v>
      </c>
      <c r="C356" s="2" t="str">
        <v>营业总收入</v>
      </c>
      <c r="D356" s="2" t="str">
        <v>万元</v>
      </c>
      <c r="E356" s="7" t="n">
        <v>8535.84</v>
      </c>
      <c r="F356" s="7"/>
      <c r="G356" s="8"/>
      <c r="H356" s="7" t="n">
        <v>935.34</v>
      </c>
      <c r="I356" s="8" t="n">
        <v>0.20494685990338168</v>
      </c>
    </row>
    <row r="357" ht="23" customHeight="1">
      <c r="A357" s="2" t="str">
        <v>子公司C</v>
      </c>
      <c r="B357" s="2" t="str">
        <v>2025-12</v>
      </c>
      <c r="C357" s="2" t="str">
        <v>利润总额</v>
      </c>
      <c r="D357" s="2" t="str">
        <v>万元</v>
      </c>
      <c r="E357" s="7" t="n">
        <v>1241.84</v>
      </c>
      <c r="F357" s="7"/>
      <c r="G357" s="8"/>
      <c r="H357" s="7" t="n">
        <v>126.76</v>
      </c>
      <c r="I357" s="8" t="n">
        <v>0.16250917094644166</v>
      </c>
    </row>
    <row r="358" ht="23" customHeight="1">
      <c r="A358" s="2" t="str">
        <v>子公司C</v>
      </c>
      <c r="B358" s="2" t="str">
        <v>2025-12</v>
      </c>
      <c r="C358" s="2" t="str">
        <v>经营性现金流量净额</v>
      </c>
      <c r="D358" s="2" t="str">
        <v>万元</v>
      </c>
      <c r="E358" s="7" t="n">
        <v>1275.48</v>
      </c>
      <c r="F358" s="7"/>
      <c r="G358" s="8"/>
      <c r="H358" s="7" t="n">
        <v>226.32</v>
      </c>
      <c r="I358" s="8" t="n">
        <v>1.6891634980988592</v>
      </c>
    </row>
    <row r="359" ht="23" customHeight="1">
      <c r="A359" s="2" t="str">
        <v>子公司C</v>
      </c>
      <c r="B359" s="2" t="str">
        <v>2025-12</v>
      </c>
      <c r="C359" s="2" t="str">
        <v>资产负债率</v>
      </c>
      <c r="D359" s="2" t="str">
        <v>%</v>
      </c>
      <c r="E359" s="3" t="n">
        <v>44.32</v>
      </c>
      <c r="F359" s="3"/>
      <c r="G359" s="8"/>
      <c r="H359" s="3" t="n">
        <v>44.32</v>
      </c>
      <c r="I359" s="8" t="n">
        <v>0.015814806325922477</v>
      </c>
    </row>
    <row r="360" ht="23" customHeight="1">
      <c r="A360" s="2" t="str">
        <v>子公司C</v>
      </c>
      <c r="B360" s="2" t="str">
        <v>2025-12</v>
      </c>
      <c r="C360" s="2" t="str">
        <v>净资产收益率</v>
      </c>
      <c r="D360" s="2" t="str">
        <v>%</v>
      </c>
      <c r="E360" s="3" t="n">
        <v>23.22</v>
      </c>
      <c r="F360" s="3"/>
      <c r="G360" s="8"/>
      <c r="H360" s="3" t="n">
        <v>2.15</v>
      </c>
      <c r="I360" s="8" t="n">
        <v>0.1684782608695651</v>
      </c>
    </row>
    <row r="361" ht="23" customHeight="1">
      <c r="A361" s="2" t="str">
        <v>子公司C</v>
      </c>
      <c r="B361" s="2" t="str">
        <v>2025-12</v>
      </c>
      <c r="C361" s="2" t="str">
        <v>新签收入合同金额</v>
      </c>
      <c r="D361" s="2" t="str">
        <v>万元</v>
      </c>
      <c r="E361" s="7" t="n">
        <v>9577.48</v>
      </c>
      <c r="F361" s="7"/>
      <c r="G361" s="8"/>
      <c r="H361" s="7" t="n">
        <v>1076.29</v>
      </c>
      <c r="I361" s="8" t="n">
        <v>0.5378427422235558</v>
      </c>
    </row>
    <row r="362" ht="23" customHeight="1">
      <c r="A362" s="2" t="str">
        <v>集团公司（合并）</v>
      </c>
      <c r="B362" s="2" t="str">
        <v>2026-01</v>
      </c>
      <c r="C362" s="2" t="str">
        <v>营业总收入</v>
      </c>
      <c r="D362" s="2" t="str">
        <v>万元</v>
      </c>
      <c r="E362" s="7" t="n">
        <v>3532.32</v>
      </c>
      <c r="F362" s="7" t="n">
        <v>3345.74</v>
      </c>
      <c r="G362" s="8" t="n">
        <v>0.05576643732029398</v>
      </c>
      <c r="H362" s="7" t="n">
        <v>3532.32</v>
      </c>
      <c r="I362" s="8" t="n">
        <v>-0.3893463382251503</v>
      </c>
    </row>
    <row r="363" ht="23" customHeight="1">
      <c r="A363" s="2" t="str">
        <v>集团公司（合并）</v>
      </c>
      <c r="B363" s="2" t="str">
        <v>2026-01</v>
      </c>
      <c r="C363" s="2" t="str">
        <v>利润总额</v>
      </c>
      <c r="D363" s="2" t="str">
        <v>万元</v>
      </c>
      <c r="E363" s="7" t="n">
        <v>427.57</v>
      </c>
      <c r="F363" s="7" t="n">
        <v>420.02</v>
      </c>
      <c r="G363" s="8" t="n">
        <v>0.017975334507880605</v>
      </c>
      <c r="H363" s="7" t="n">
        <v>427.57</v>
      </c>
      <c r="I363" s="8" t="n">
        <v>-0.40831407497612887</v>
      </c>
    </row>
    <row r="364" ht="23" customHeight="1">
      <c r="A364" s="2" t="str">
        <v>集团公司（合并）</v>
      </c>
      <c r="B364" s="2" t="str">
        <v>2026-01</v>
      </c>
      <c r="C364" s="2" t="str">
        <v>经营性现金流量净额</v>
      </c>
      <c r="D364" s="2" t="str">
        <v>万元</v>
      </c>
      <c r="E364" s="7" t="n">
        <v>-155.35</v>
      </c>
      <c r="F364" s="7" t="n">
        <v>-133.61</v>
      </c>
      <c r="G364" s="8" t="n">
        <v>-0.1627123718284558</v>
      </c>
      <c r="H364" s="7" t="n">
        <v>-155.35</v>
      </c>
      <c r="I364" s="8" t="n">
        <v>-1.1081681393130434</v>
      </c>
    </row>
    <row r="365" ht="23" customHeight="1">
      <c r="A365" s="2" t="str">
        <v>集团公司（合并）</v>
      </c>
      <c r="B365" s="2" t="str">
        <v>2026-01</v>
      </c>
      <c r="C365" s="2" t="str">
        <v>资产负债率</v>
      </c>
      <c r="D365" s="2" t="str">
        <v>%</v>
      </c>
      <c r="E365" s="3" t="n">
        <v>55.72</v>
      </c>
      <c r="F365" s="3" t="n">
        <v>59.12</v>
      </c>
      <c r="G365" s="8" t="n">
        <v>-0.057510148849797</v>
      </c>
      <c r="H365" s="3" t="n">
        <v>55.72</v>
      </c>
      <c r="I365" s="8" t="n">
        <v>-0.005177646848776989</v>
      </c>
    </row>
    <row r="366" ht="23" customHeight="1">
      <c r="A366" s="2" t="str">
        <v>集团公司（合并）</v>
      </c>
      <c r="B366" s="2" t="str">
        <v>2026-01</v>
      </c>
      <c r="C366" s="2" t="str">
        <v>净资产收益率</v>
      </c>
      <c r="D366" s="2" t="str">
        <v>%</v>
      </c>
      <c r="E366" s="3" t="n">
        <v>1.3</v>
      </c>
      <c r="F366" s="3" t="n">
        <v>1.5</v>
      </c>
      <c r="G366" s="8" t="n">
        <v>-0.1333333333333333</v>
      </c>
      <c r="H366" s="3" t="n">
        <v>1.3</v>
      </c>
      <c r="I366" s="8" t="n">
        <v>-0.4036697247706422</v>
      </c>
    </row>
    <row r="367" ht="23" customHeight="1">
      <c r="A367" s="2" t="str">
        <v>集团公司（合并）</v>
      </c>
      <c r="B367" s="2" t="str">
        <v>2026-01</v>
      </c>
      <c r="C367" s="2" t="str">
        <v>新签收入合同金额</v>
      </c>
      <c r="D367" s="2" t="str">
        <v>万元</v>
      </c>
      <c r="E367" s="7" t="n">
        <v>3621.82</v>
      </c>
      <c r="F367" s="7" t="n">
        <v>3949.34</v>
      </c>
      <c r="G367" s="8" t="n">
        <v>-0.08293031240662996</v>
      </c>
      <c r="H367" s="7" t="n">
        <v>3621.82</v>
      </c>
      <c r="I367" s="8" t="n">
        <v>-0.5190976325468378</v>
      </c>
    </row>
    <row r="368" ht="23" customHeight="1">
      <c r="A368" s="2" t="str">
        <v>集团公司（本部）</v>
      </c>
      <c r="B368" s="2" t="str">
        <v>2026-01</v>
      </c>
      <c r="C368" s="2" t="str">
        <v>营业总收入</v>
      </c>
      <c r="D368" s="2" t="str">
        <v>万元</v>
      </c>
      <c r="E368" s="7" t="n">
        <v>1539.39</v>
      </c>
      <c r="F368" s="7" t="n">
        <v>1458</v>
      </c>
      <c r="G368" s="8" t="n">
        <v>0.05582304526748978</v>
      </c>
      <c r="H368" s="7" t="n">
        <v>1539.39</v>
      </c>
      <c r="I368" s="8" t="n">
        <v>-0.3998830477749839</v>
      </c>
    </row>
    <row r="369" ht="23" customHeight="1">
      <c r="A369" s="2" t="str">
        <v>集团公司（本部）</v>
      </c>
      <c r="B369" s="2" t="str">
        <v>2026-01</v>
      </c>
      <c r="C369" s="2" t="str">
        <v>利润总额</v>
      </c>
      <c r="D369" s="2" t="str">
        <v>万元</v>
      </c>
      <c r="E369" s="7" t="n">
        <v>177.42</v>
      </c>
      <c r="F369" s="7" t="n">
        <v>153.09</v>
      </c>
      <c r="G369" s="8" t="n">
        <v>0.15892612188908475</v>
      </c>
      <c r="H369" s="7" t="n">
        <v>177.42</v>
      </c>
      <c r="I369" s="8" t="n">
        <v>-0.4081265012009608</v>
      </c>
    </row>
    <row r="370" ht="23" customHeight="1">
      <c r="A370" s="2" t="str">
        <v>集团公司（本部）</v>
      </c>
      <c r="B370" s="2" t="str">
        <v>2026-01</v>
      </c>
      <c r="C370" s="2" t="str">
        <v>经营性现金流量净额</v>
      </c>
      <c r="D370" s="2" t="str">
        <v>万元</v>
      </c>
      <c r="E370" s="7" t="n">
        <v>-71.23</v>
      </c>
      <c r="F370" s="7" t="n">
        <v>-80.92</v>
      </c>
      <c r="G370" s="8" t="n">
        <v>0.11974789915966383</v>
      </c>
      <c r="H370" s="7" t="n">
        <v>-71.23</v>
      </c>
      <c r="I370" s="8" t="n">
        <v>-1.1233206371191136</v>
      </c>
    </row>
    <row r="371" ht="23" customHeight="1">
      <c r="A371" s="2" t="str">
        <v>集团公司（本部）</v>
      </c>
      <c r="B371" s="2" t="str">
        <v>2026-01</v>
      </c>
      <c r="C371" s="2" t="str">
        <v>资产负债率</v>
      </c>
      <c r="D371" s="2" t="str">
        <v>%</v>
      </c>
      <c r="E371" s="3" t="n">
        <v>55.24</v>
      </c>
      <c r="F371" s="3" t="n">
        <v>57.77</v>
      </c>
      <c r="G371" s="8" t="n">
        <v>-0.04379435693266403</v>
      </c>
      <c r="H371" s="3" t="n">
        <v>55.24</v>
      </c>
      <c r="I371" s="8" t="n">
        <v>-0.004505316273202379</v>
      </c>
    </row>
    <row r="372" ht="23" customHeight="1">
      <c r="A372" s="2" t="str">
        <v>集团公司（本部）</v>
      </c>
      <c r="B372" s="2" t="str">
        <v>2026-01</v>
      </c>
      <c r="C372" s="2" t="str">
        <v>净资产收益率</v>
      </c>
      <c r="D372" s="2" t="str">
        <v>%</v>
      </c>
      <c r="E372" s="3" t="n">
        <v>1.11</v>
      </c>
      <c r="F372" s="3" t="n">
        <v>1.09</v>
      </c>
      <c r="G372" s="8" t="n">
        <v>0.018348623853211024</v>
      </c>
      <c r="H372" s="3" t="n">
        <v>1.11</v>
      </c>
      <c r="I372" s="8" t="n">
        <v>-0.4064171122994652</v>
      </c>
    </row>
    <row r="373" ht="23" customHeight="1">
      <c r="A373" s="2" t="str">
        <v>集团公司（本部）</v>
      </c>
      <c r="B373" s="2" t="str">
        <v>2026-01</v>
      </c>
      <c r="C373" s="2" t="str">
        <v>新签收入合同金额</v>
      </c>
      <c r="D373" s="2" t="str">
        <v>万元</v>
      </c>
      <c r="E373" s="7" t="n">
        <v>1612.12</v>
      </c>
      <c r="F373" s="7" t="n">
        <v>1571.72</v>
      </c>
      <c r="G373" s="8" t="n">
        <v>0.025704323925381023</v>
      </c>
      <c r="H373" s="7" t="n">
        <v>1612.12</v>
      </c>
      <c r="I373" s="8" t="n">
        <v>-0.5581114232851367</v>
      </c>
    </row>
    <row r="374" ht="23" customHeight="1">
      <c r="A374" s="2" t="str">
        <v>子公司A</v>
      </c>
      <c r="B374" s="2" t="str">
        <v>2026-01</v>
      </c>
      <c r="C374" s="2" t="str">
        <v>营业总收入</v>
      </c>
      <c r="D374" s="2" t="str">
        <v>万元</v>
      </c>
      <c r="E374" s="7" t="n">
        <v>905</v>
      </c>
      <c r="F374" s="7" t="n">
        <v>869.57</v>
      </c>
      <c r="G374" s="8" t="n">
        <v>0.040744275906482455</v>
      </c>
      <c r="H374" s="7" t="n">
        <v>905</v>
      </c>
      <c r="I374" s="8" t="n">
        <v>-0.3899849686903887</v>
      </c>
    </row>
    <row r="375" ht="23" customHeight="1">
      <c r="A375" s="2" t="str">
        <v>子公司A</v>
      </c>
      <c r="B375" s="2" t="str">
        <v>2026-01</v>
      </c>
      <c r="C375" s="2" t="str">
        <v>利润总额</v>
      </c>
      <c r="D375" s="2" t="str">
        <v>万元</v>
      </c>
      <c r="E375" s="7" t="n">
        <v>107.96</v>
      </c>
      <c r="F375" s="7" t="n">
        <v>112.26</v>
      </c>
      <c r="G375" s="8" t="n">
        <v>-0.03830393728843765</v>
      </c>
      <c r="H375" s="7" t="n">
        <v>107.96</v>
      </c>
      <c r="I375" s="8" t="n">
        <v>-0.4268117865675604</v>
      </c>
    </row>
    <row r="376" ht="23" customHeight="1">
      <c r="A376" s="2" t="str">
        <v>子公司A</v>
      </c>
      <c r="B376" s="2" t="str">
        <v>2026-01</v>
      </c>
      <c r="C376" s="2" t="str">
        <v>经营性现金流量净额</v>
      </c>
      <c r="D376" s="2" t="str">
        <v>万元</v>
      </c>
      <c r="E376" s="7" t="n">
        <v>-38.59</v>
      </c>
      <c r="F376" s="7" t="n">
        <v>-29.4</v>
      </c>
      <c r="G376" s="8" t="n">
        <v>-0.3125850340136056</v>
      </c>
      <c r="H376" s="7" t="n">
        <v>-38.59</v>
      </c>
      <c r="I376" s="8" t="n">
        <v>-1.1110375784082407</v>
      </c>
    </row>
    <row r="377" ht="23" customHeight="1">
      <c r="A377" s="2" t="str">
        <v>子公司A</v>
      </c>
      <c r="B377" s="2" t="str">
        <v>2026-01</v>
      </c>
      <c r="C377" s="2" t="str">
        <v>资产负债率</v>
      </c>
      <c r="D377" s="2" t="str">
        <v>%</v>
      </c>
      <c r="E377" s="3" t="n">
        <v>58.05</v>
      </c>
      <c r="F377" s="3" t="n">
        <v>61.66</v>
      </c>
      <c r="G377" s="8" t="n">
        <v>-0.05854686993188452</v>
      </c>
      <c r="H377" s="3" t="n">
        <v>58.05</v>
      </c>
      <c r="I377" s="8" t="n">
        <v>-0.00480027430138867</v>
      </c>
    </row>
    <row r="378" ht="23" customHeight="1">
      <c r="A378" s="2" t="str">
        <v>子公司A</v>
      </c>
      <c r="B378" s="2" t="str">
        <v>2026-01</v>
      </c>
      <c r="C378" s="2" t="str">
        <v>净资产收益率</v>
      </c>
      <c r="D378" s="2" t="str">
        <v>%</v>
      </c>
      <c r="E378" s="3" t="n">
        <v>1.36</v>
      </c>
      <c r="F378" s="3" t="n">
        <v>1.69</v>
      </c>
      <c r="G378" s="8" t="n">
        <v>-0.19526627218934903</v>
      </c>
      <c r="H378" s="3" t="n">
        <v>1.36</v>
      </c>
      <c r="I378" s="8" t="n">
        <v>-0.4261603375527426</v>
      </c>
    </row>
    <row r="379" ht="23" customHeight="1">
      <c r="A379" s="2" t="str">
        <v>子公司A</v>
      </c>
      <c r="B379" s="2" t="str">
        <v>2026-01</v>
      </c>
      <c r="C379" s="2" t="str">
        <v>新签收入合同金额</v>
      </c>
      <c r="D379" s="2" t="str">
        <v>万元</v>
      </c>
      <c r="E379" s="7" t="n">
        <v>828.28</v>
      </c>
      <c r="F379" s="7" t="n">
        <v>1066.47</v>
      </c>
      <c r="G379" s="8" t="n">
        <v>-0.2233443041060696</v>
      </c>
      <c r="H379" s="7" t="n">
        <v>828.28</v>
      </c>
      <c r="I379" s="8" t="n">
        <v>-0.542434772040504</v>
      </c>
    </row>
    <row r="380" ht="23" customHeight="1">
      <c r="A380" s="2" t="str">
        <v>子公司B</v>
      </c>
      <c r="B380" s="2" t="str">
        <v>2026-01</v>
      </c>
      <c r="C380" s="2" t="str">
        <v>营业总收入</v>
      </c>
      <c r="D380" s="2" t="str">
        <v>万元</v>
      </c>
      <c r="E380" s="7" t="n">
        <v>748.46</v>
      </c>
      <c r="F380" s="7" t="n">
        <v>710.33</v>
      </c>
      <c r="G380" s="8" t="n">
        <v>0.05367927582954401</v>
      </c>
      <c r="H380" s="7" t="n">
        <v>748.46</v>
      </c>
      <c r="I380" s="8" t="n">
        <v>-0.3776110963278339</v>
      </c>
    </row>
    <row r="381" ht="23" customHeight="1">
      <c r="A381" s="2" t="str">
        <v>子公司B</v>
      </c>
      <c r="B381" s="2" t="str">
        <v>2026-01</v>
      </c>
      <c r="C381" s="2" t="str">
        <v>利润总额</v>
      </c>
      <c r="D381" s="2" t="str">
        <v>万元</v>
      </c>
      <c r="E381" s="7" t="n">
        <v>92.11</v>
      </c>
      <c r="F381" s="7" t="n">
        <v>102.22</v>
      </c>
      <c r="G381" s="8" t="n">
        <v>-0.09890432400704363</v>
      </c>
      <c r="H381" s="7" t="n">
        <v>92.11</v>
      </c>
      <c r="I381" s="8" t="n">
        <v>-0.40962697090116656</v>
      </c>
    </row>
    <row r="382" ht="23" customHeight="1">
      <c r="A382" s="2" t="str">
        <v>子公司B</v>
      </c>
      <c r="B382" s="2" t="str">
        <v>2026-01</v>
      </c>
      <c r="C382" s="2" t="str">
        <v>经营性现金流量净额</v>
      </c>
      <c r="D382" s="2" t="str">
        <v>万元</v>
      </c>
      <c r="E382" s="7" t="n">
        <v>-29.37</v>
      </c>
      <c r="F382" s="7" t="n">
        <v>-14.55</v>
      </c>
      <c r="G382" s="8" t="n">
        <v>-1.0185567010309278</v>
      </c>
      <c r="H382" s="7" t="n">
        <v>-29.37</v>
      </c>
      <c r="I382" s="8" t="n">
        <v>-1.1031503529659679</v>
      </c>
    </row>
    <row r="383" ht="23" customHeight="1">
      <c r="A383" s="2" t="str">
        <v>子公司B</v>
      </c>
      <c r="B383" s="2" t="str">
        <v>2026-01</v>
      </c>
      <c r="C383" s="2" t="str">
        <v>资产负债率</v>
      </c>
      <c r="D383" s="2" t="str">
        <v>%</v>
      </c>
      <c r="E383" s="3" t="n">
        <v>50.85</v>
      </c>
      <c r="F383" s="3" t="n">
        <v>54.64</v>
      </c>
      <c r="G383" s="8" t="n">
        <v>-0.06936310395314786</v>
      </c>
      <c r="H383" s="3" t="n">
        <v>50.85</v>
      </c>
      <c r="I383" s="8" t="n">
        <v>-0.004697592483852065</v>
      </c>
    </row>
    <row r="384" ht="23" customHeight="1">
      <c r="A384" s="2" t="str">
        <v>子公司B</v>
      </c>
      <c r="B384" s="2" t="str">
        <v>2026-01</v>
      </c>
      <c r="C384" s="2" t="str">
        <v>净资产收益率</v>
      </c>
      <c r="D384" s="2" t="str">
        <v>%</v>
      </c>
      <c r="E384" s="3" t="n">
        <v>1.33</v>
      </c>
      <c r="F384" s="3" t="n">
        <v>1.78</v>
      </c>
      <c r="G384" s="8" t="n">
        <v>-0.2528089887640449</v>
      </c>
      <c r="H384" s="3" t="n">
        <v>1.33</v>
      </c>
      <c r="I384" s="8" t="n">
        <v>-0.40888888888888886</v>
      </c>
    </row>
    <row r="385" ht="23" customHeight="1">
      <c r="A385" s="2" t="str">
        <v>子公司B</v>
      </c>
      <c r="B385" s="2" t="str">
        <v>2026-01</v>
      </c>
      <c r="C385" s="2" t="str">
        <v>新签收入合同金额</v>
      </c>
      <c r="D385" s="2" t="str">
        <v>万元</v>
      </c>
      <c r="E385" s="7" t="n">
        <v>698.2</v>
      </c>
      <c r="F385" s="7" t="n">
        <v>879.67</v>
      </c>
      <c r="G385" s="8" t="n">
        <v>-0.20629326906680906</v>
      </c>
      <c r="H385" s="7" t="n">
        <v>698.2</v>
      </c>
      <c r="I385" s="8" t="n">
        <v>-0.4671733937742774</v>
      </c>
    </row>
    <row r="386" ht="23" customHeight="1">
      <c r="A386" s="2" t="str">
        <v>子公司C</v>
      </c>
      <c r="B386" s="2" t="str">
        <v>2026-01</v>
      </c>
      <c r="C386" s="2" t="str">
        <v>营业总收入</v>
      </c>
      <c r="D386" s="2" t="str">
        <v>万元</v>
      </c>
      <c r="E386" s="7" t="n">
        <v>585.03</v>
      </c>
      <c r="F386" s="7" t="n">
        <v>540.43</v>
      </c>
      <c r="G386" s="8" t="n">
        <v>0.08252687674629466</v>
      </c>
      <c r="H386" s="7" t="n">
        <v>585.03</v>
      </c>
      <c r="I386" s="8" t="n">
        <v>-0.37452691000064153</v>
      </c>
    </row>
    <row r="387" ht="23" customHeight="1">
      <c r="A387" s="2" t="str">
        <v>子公司C</v>
      </c>
      <c r="B387" s="2" t="str">
        <v>2026-01</v>
      </c>
      <c r="C387" s="2" t="str">
        <v>利润总额</v>
      </c>
      <c r="D387" s="2" t="str">
        <v>万元</v>
      </c>
      <c r="E387" s="7" t="n">
        <v>79.55</v>
      </c>
      <c r="F387" s="7" t="n">
        <v>80.36</v>
      </c>
      <c r="G387" s="8" t="n">
        <v>-0.010079641612742687</v>
      </c>
      <c r="H387" s="7" t="n">
        <v>79.55</v>
      </c>
      <c r="I387" s="8" t="n">
        <v>-0.3724360997159988</v>
      </c>
    </row>
    <row r="388" ht="23" customHeight="1">
      <c r="A388" s="2" t="str">
        <v>子公司C</v>
      </c>
      <c r="B388" s="2" t="str">
        <v>2026-01</v>
      </c>
      <c r="C388" s="2" t="str">
        <v>经营性现金流量净额</v>
      </c>
      <c r="D388" s="2" t="str">
        <v>万元</v>
      </c>
      <c r="E388" s="7" t="n">
        <v>-16.16</v>
      </c>
      <c r="F388" s="7" t="n">
        <v>-8.74</v>
      </c>
      <c r="G388" s="8" t="n">
        <v>-0.8489702517162471</v>
      </c>
      <c r="H388" s="7" t="n">
        <v>-16.16</v>
      </c>
      <c r="I388" s="8" t="n">
        <v>-1.0714033227288795</v>
      </c>
    </row>
    <row r="389" ht="23" customHeight="1">
      <c r="A389" s="2" t="str">
        <v>子公司C</v>
      </c>
      <c r="B389" s="2" t="str">
        <v>2026-01</v>
      </c>
      <c r="C389" s="2" t="str">
        <v>资产负债率</v>
      </c>
      <c r="D389" s="2" t="str">
        <v>%</v>
      </c>
      <c r="E389" s="3" t="n">
        <v>44.08</v>
      </c>
      <c r="F389" s="3" t="n">
        <v>47.66</v>
      </c>
      <c r="G389" s="8" t="n">
        <v>-0.07511540075535036</v>
      </c>
      <c r="H389" s="3" t="n">
        <v>44.08</v>
      </c>
      <c r="I389" s="8" t="n">
        <v>-0.005415162454873691</v>
      </c>
    </row>
    <row r="390" ht="23" customHeight="1">
      <c r="A390" s="2" t="str">
        <v>子公司C</v>
      </c>
      <c r="B390" s="2" t="str">
        <v>2026-01</v>
      </c>
      <c r="C390" s="2" t="str">
        <v>净资产收益率</v>
      </c>
      <c r="D390" s="2" t="str">
        <v>%</v>
      </c>
      <c r="E390" s="3" t="n">
        <v>1.35</v>
      </c>
      <c r="F390" s="3" t="n">
        <v>1.64</v>
      </c>
      <c r="G390" s="8" t="n">
        <v>-0.17682926829268283</v>
      </c>
      <c r="H390" s="3" t="n">
        <v>1.35</v>
      </c>
      <c r="I390" s="8" t="n">
        <v>-0.3720930232558139</v>
      </c>
    </row>
    <row r="391" ht="23" customHeight="1">
      <c r="A391" s="2" t="str">
        <v>子公司C</v>
      </c>
      <c r="B391" s="2" t="str">
        <v>2026-01</v>
      </c>
      <c r="C391" s="2" t="str">
        <v>新签收入合同金额</v>
      </c>
      <c r="D391" s="2" t="str">
        <v>万元</v>
      </c>
      <c r="E391" s="7" t="n">
        <v>634.13</v>
      </c>
      <c r="F391" s="7" t="n">
        <v>596.04</v>
      </c>
      <c r="G391" s="8" t="n">
        <v>0.06390510703979604</v>
      </c>
      <c r="H391" s="7" t="n">
        <v>634.13</v>
      </c>
      <c r="I391" s="8" t="n">
        <v>-0.41081864553233793</v>
      </c>
    </row>
    <row r="392" ht="23" customHeight="1">
      <c r="A392" s="2" t="str">
        <v>集团公司（合并）</v>
      </c>
      <c r="B392" s="2" t="str">
        <v>2026-02</v>
      </c>
      <c r="C392" s="2" t="str">
        <v>营业总收入</v>
      </c>
      <c r="D392" s="2" t="str">
        <v>万元</v>
      </c>
      <c r="E392" s="7" t="n">
        <v>6943.23</v>
      </c>
      <c r="F392" s="7" t="n">
        <v>6543.51</v>
      </c>
      <c r="G392" s="8" t="n">
        <v>0.06108648110876263</v>
      </c>
      <c r="H392" s="7" t="n">
        <v>3410.91</v>
      </c>
      <c r="I392" s="8" t="n">
        <v>-0.034371178149205144</v>
      </c>
    </row>
    <row r="393" ht="23" customHeight="1">
      <c r="A393" s="2" t="str">
        <v>集团公司（合并）</v>
      </c>
      <c r="B393" s="2" t="str">
        <v>2026-02</v>
      </c>
      <c r="C393" s="2" t="str">
        <v>利润总额</v>
      </c>
      <c r="D393" s="2" t="str">
        <v>万元</v>
      </c>
      <c r="E393" s="7" t="n">
        <v>825.69</v>
      </c>
      <c r="F393" s="7" t="n">
        <v>825.02</v>
      </c>
      <c r="G393" s="8" t="n">
        <v>0.0008121015248116079</v>
      </c>
      <c r="H393" s="7" t="n">
        <v>398.12</v>
      </c>
      <c r="I393" s="8" t="n">
        <v>-0.06887761068363073</v>
      </c>
    </row>
    <row r="394" ht="23" customHeight="1">
      <c r="A394" s="2" t="str">
        <v>集团公司（合并）</v>
      </c>
      <c r="B394" s="2" t="str">
        <v>2026-02</v>
      </c>
      <c r="C394" s="2" t="str">
        <v>经营性现金流量净额</v>
      </c>
      <c r="D394" s="2" t="str">
        <v>万元</v>
      </c>
      <c r="E394" s="7" t="n">
        <v>-318.65</v>
      </c>
      <c r="F394" s="7" t="n">
        <v>-258.11</v>
      </c>
      <c r="G394" s="8" t="n">
        <v>-0.23455116035798676</v>
      </c>
      <c r="H394" s="7" t="n">
        <v>-163.3</v>
      </c>
      <c r="I394" s="8" t="n">
        <v>-0.051174766655938314</v>
      </c>
    </row>
    <row r="395" ht="23" customHeight="1">
      <c r="A395" s="2" t="str">
        <v>集团公司（合并）</v>
      </c>
      <c r="B395" s="2" t="str">
        <v>2026-02</v>
      </c>
      <c r="C395" s="2" t="str">
        <v>资产负债率</v>
      </c>
      <c r="D395" s="2" t="str">
        <v>%</v>
      </c>
      <c r="E395" s="3" t="n">
        <v>55.46</v>
      </c>
      <c r="F395" s="3" t="n">
        <v>58.81</v>
      </c>
      <c r="G395" s="8" t="n">
        <v>-0.056963101513348095</v>
      </c>
      <c r="H395" s="3" t="n">
        <v>55.46</v>
      </c>
      <c r="I395" s="8" t="n">
        <v>-0.004666188083273475</v>
      </c>
    </row>
    <row r="396" ht="23" customHeight="1">
      <c r="A396" s="2" t="str">
        <v>集团公司（合并）</v>
      </c>
      <c r="B396" s="2" t="str">
        <v>2026-02</v>
      </c>
      <c r="C396" s="2" t="str">
        <v>净资产收益率</v>
      </c>
      <c r="D396" s="2" t="str">
        <v>%</v>
      </c>
      <c r="E396" s="3" t="n">
        <v>2.5</v>
      </c>
      <c r="F396" s="3" t="n">
        <v>2.92</v>
      </c>
      <c r="G396" s="8" t="n">
        <v>-0.14383561643835616</v>
      </c>
      <c r="H396" s="3" t="n">
        <v>1.2</v>
      </c>
      <c r="I396" s="8" t="n">
        <v>-0.07692307692307698</v>
      </c>
    </row>
    <row r="397" ht="23" customHeight="1">
      <c r="A397" s="2" t="str">
        <v>集团公司（合并）</v>
      </c>
      <c r="B397" s="2" t="str">
        <v>2026-02</v>
      </c>
      <c r="C397" s="2" t="str">
        <v>新签收入合同金额</v>
      </c>
      <c r="D397" s="2" t="str">
        <v>万元</v>
      </c>
      <c r="E397" s="7" t="n">
        <v>7101.87</v>
      </c>
      <c r="F397" s="7" t="n">
        <v>7782.9</v>
      </c>
      <c r="G397" s="8" t="n">
        <v>-0.08750337277878423</v>
      </c>
      <c r="H397" s="7" t="n">
        <v>3480.05</v>
      </c>
      <c r="I397" s="8" t="n">
        <v>-0.039143303642919854</v>
      </c>
    </row>
    <row r="398" ht="23" customHeight="1">
      <c r="A398" s="2" t="str">
        <v>集团公司（本部）</v>
      </c>
      <c r="B398" s="2" t="str">
        <v>2026-02</v>
      </c>
      <c r="C398" s="2" t="str">
        <v>营业总收入</v>
      </c>
      <c r="D398" s="2" t="str">
        <v>万元</v>
      </c>
      <c r="E398" s="7" t="n">
        <v>3018.14</v>
      </c>
      <c r="F398" s="7" t="n">
        <v>2875.67</v>
      </c>
      <c r="G398" s="8" t="n">
        <v>0.04954323688044866</v>
      </c>
      <c r="H398" s="7" t="n">
        <v>1478.75</v>
      </c>
      <c r="I398" s="8" t="n">
        <v>-0.039392226791131614</v>
      </c>
    </row>
    <row r="399" ht="23" customHeight="1">
      <c r="A399" s="2" t="str">
        <v>集团公司（本部）</v>
      </c>
      <c r="B399" s="2" t="str">
        <v>2026-02</v>
      </c>
      <c r="C399" s="2" t="str">
        <v>利润总额</v>
      </c>
      <c r="D399" s="2" t="str">
        <v>万元</v>
      </c>
      <c r="E399" s="7" t="n">
        <v>338.35</v>
      </c>
      <c r="F399" s="7" t="n">
        <v>312.9</v>
      </c>
      <c r="G399" s="8" t="n">
        <v>0.08133589006072242</v>
      </c>
      <c r="H399" s="7" t="n">
        <v>160.93</v>
      </c>
      <c r="I399" s="8" t="n">
        <v>-0.09294329838800576</v>
      </c>
    </row>
    <row r="400" ht="23" customHeight="1">
      <c r="A400" s="2" t="str">
        <v>集团公司（本部）</v>
      </c>
      <c r="B400" s="2" t="str">
        <v>2026-02</v>
      </c>
      <c r="C400" s="2" t="str">
        <v>经营性现金流量净额</v>
      </c>
      <c r="D400" s="2" t="str">
        <v>万元</v>
      </c>
      <c r="E400" s="7" t="n">
        <v>-148.21</v>
      </c>
      <c r="F400" s="7" t="n">
        <v>-149.74</v>
      </c>
      <c r="G400" s="8" t="n">
        <v>0.010217710698544151</v>
      </c>
      <c r="H400" s="7" t="n">
        <v>-76.98</v>
      </c>
      <c r="I400" s="8" t="n">
        <v>-0.08072441387056015</v>
      </c>
    </row>
    <row r="401" ht="23" customHeight="1">
      <c r="A401" s="2" t="str">
        <v>集团公司（本部）</v>
      </c>
      <c r="B401" s="2" t="str">
        <v>2026-02</v>
      </c>
      <c r="C401" s="2" t="str">
        <v>资产负债率</v>
      </c>
      <c r="D401" s="2" t="str">
        <v>%</v>
      </c>
      <c r="E401" s="3" t="n">
        <v>55.04</v>
      </c>
      <c r="F401" s="3" t="n">
        <v>57.55</v>
      </c>
      <c r="G401" s="8" t="n">
        <v>-0.04361424847958294</v>
      </c>
      <c r="H401" s="3" t="n">
        <v>55.04</v>
      </c>
      <c r="I401" s="8" t="n">
        <v>-0.0036205648081101163</v>
      </c>
    </row>
    <row r="402" ht="23" customHeight="1">
      <c r="A402" s="2" t="str">
        <v>集团公司（本部）</v>
      </c>
      <c r="B402" s="2" t="str">
        <v>2026-02</v>
      </c>
      <c r="C402" s="2" t="str">
        <v>净资产收益率</v>
      </c>
      <c r="D402" s="2" t="str">
        <v>%</v>
      </c>
      <c r="E402" s="3" t="n">
        <v>2.11</v>
      </c>
      <c r="F402" s="3" t="n">
        <v>2.21</v>
      </c>
      <c r="G402" s="8" t="n">
        <v>-0.04524886877828058</v>
      </c>
      <c r="H402" s="3" t="n">
        <v>1</v>
      </c>
      <c r="I402" s="8" t="n">
        <v>-0.09909909909909918</v>
      </c>
    </row>
    <row r="403" ht="23" customHeight="1">
      <c r="A403" s="2" t="str">
        <v>集团公司（本部）</v>
      </c>
      <c r="B403" s="2" t="str">
        <v>2026-02</v>
      </c>
      <c r="C403" s="2" t="str">
        <v>新签收入合同金额</v>
      </c>
      <c r="D403" s="2" t="str">
        <v>万元</v>
      </c>
      <c r="E403" s="7" t="n">
        <v>2990.27</v>
      </c>
      <c r="F403" s="7" t="n">
        <v>3279.36</v>
      </c>
      <c r="G403" s="8" t="n">
        <v>-0.0881543959797034</v>
      </c>
      <c r="H403" s="7" t="n">
        <v>1378.15</v>
      </c>
      <c r="I403" s="8" t="n">
        <v>-0.14513187603900443</v>
      </c>
    </row>
    <row r="404" ht="23" customHeight="1">
      <c r="A404" s="2" t="str">
        <v>子公司A</v>
      </c>
      <c r="B404" s="2" t="str">
        <v>2026-02</v>
      </c>
      <c r="C404" s="2" t="str">
        <v>营业总收入</v>
      </c>
      <c r="D404" s="2" t="str">
        <v>万元</v>
      </c>
      <c r="E404" s="7" t="n">
        <v>1788.16</v>
      </c>
      <c r="F404" s="7" t="n">
        <v>1698.8</v>
      </c>
      <c r="G404" s="8" t="n">
        <v>0.05260183659053457</v>
      </c>
      <c r="H404" s="7" t="n">
        <v>883.16</v>
      </c>
      <c r="I404" s="8" t="n">
        <v>-0.02413259668508291</v>
      </c>
    </row>
    <row r="405" ht="23" customHeight="1">
      <c r="A405" s="2" t="str">
        <v>子公司A</v>
      </c>
      <c r="B405" s="2" t="str">
        <v>2026-02</v>
      </c>
      <c r="C405" s="2" t="str">
        <v>利润总额</v>
      </c>
      <c r="D405" s="2" t="str">
        <v>万元</v>
      </c>
      <c r="E405" s="7" t="n">
        <v>206.43</v>
      </c>
      <c r="F405" s="7" t="n">
        <v>220.81</v>
      </c>
      <c r="G405" s="8" t="n">
        <v>-0.06512386214392461</v>
      </c>
      <c r="H405" s="7" t="n">
        <v>98.47</v>
      </c>
      <c r="I405" s="8" t="n">
        <v>-0.08790292701000366</v>
      </c>
    </row>
    <row r="406" ht="23" customHeight="1">
      <c r="A406" s="2" t="str">
        <v>子公司A</v>
      </c>
      <c r="B406" s="2" t="str">
        <v>2026-02</v>
      </c>
      <c r="C406" s="2" t="str">
        <v>经营性现金流量净额</v>
      </c>
      <c r="D406" s="2" t="str">
        <v>万元</v>
      </c>
      <c r="E406" s="7" t="n">
        <v>-82.44</v>
      </c>
      <c r="F406" s="7" t="n">
        <v>-56.09</v>
      </c>
      <c r="G406" s="8" t="n">
        <v>-0.46978070957389895</v>
      </c>
      <c r="H406" s="7" t="n">
        <v>-43.85</v>
      </c>
      <c r="I406" s="8" t="n">
        <v>-0.1363047421611816</v>
      </c>
    </row>
    <row r="407" ht="23" customHeight="1">
      <c r="A407" s="2" t="str">
        <v>子公司A</v>
      </c>
      <c r="B407" s="2" t="str">
        <v>2026-02</v>
      </c>
      <c r="C407" s="2" t="str">
        <v>资产负债率</v>
      </c>
      <c r="D407" s="2" t="str">
        <v>%</v>
      </c>
      <c r="E407" s="3" t="n">
        <v>57.81</v>
      </c>
      <c r="F407" s="3" t="n">
        <v>61.34</v>
      </c>
      <c r="G407" s="8" t="n">
        <v>-0.0575480925986306</v>
      </c>
      <c r="H407" s="3" t="n">
        <v>57.81</v>
      </c>
      <c r="I407" s="8" t="n">
        <v>-0.0041343669250645115</v>
      </c>
    </row>
    <row r="408" ht="23" customHeight="1">
      <c r="A408" s="2" t="str">
        <v>子公司A</v>
      </c>
      <c r="B408" s="2" t="str">
        <v>2026-02</v>
      </c>
      <c r="C408" s="2" t="str">
        <v>净资产收益率</v>
      </c>
      <c r="D408" s="2" t="str">
        <v>%</v>
      </c>
      <c r="E408" s="3" t="n">
        <v>2.59</v>
      </c>
      <c r="F408" s="3" t="n">
        <v>3.3</v>
      </c>
      <c r="G408" s="8" t="n">
        <v>-0.21515151515151515</v>
      </c>
      <c r="H408" s="3" t="n">
        <v>1.23</v>
      </c>
      <c r="I408" s="8" t="n">
        <v>-0.09558823529411772</v>
      </c>
    </row>
    <row r="409" ht="23" customHeight="1">
      <c r="A409" s="2" t="str">
        <v>子公司A</v>
      </c>
      <c r="B409" s="2" t="str">
        <v>2026-02</v>
      </c>
      <c r="C409" s="2" t="str">
        <v>新签收入合同金额</v>
      </c>
      <c r="D409" s="2" t="str">
        <v>万元</v>
      </c>
      <c r="E409" s="7" t="n">
        <v>1637.1</v>
      </c>
      <c r="F409" s="7" t="n">
        <v>2102.83</v>
      </c>
      <c r="G409" s="8" t="n">
        <v>-0.22147772287821652</v>
      </c>
      <c r="H409" s="7" t="n">
        <v>808.82</v>
      </c>
      <c r="I409" s="8" t="n">
        <v>-0.02349447046892346</v>
      </c>
    </row>
    <row r="410" ht="23" customHeight="1">
      <c r="A410" s="2" t="str">
        <v>子公司B</v>
      </c>
      <c r="B410" s="2" t="str">
        <v>2026-02</v>
      </c>
      <c r="C410" s="2" t="str">
        <v>营业总收入</v>
      </c>
      <c r="D410" s="2" t="str">
        <v>万元</v>
      </c>
      <c r="E410" s="7" t="n">
        <v>1476.36</v>
      </c>
      <c r="F410" s="7" t="n">
        <v>1376.32</v>
      </c>
      <c r="G410" s="8" t="n">
        <v>0.072686584515229</v>
      </c>
      <c r="H410" s="7" t="n">
        <v>727.9</v>
      </c>
      <c r="I410" s="8" t="n">
        <v>-0.027469737861742855</v>
      </c>
    </row>
    <row r="411" ht="23" customHeight="1">
      <c r="A411" s="2" t="str">
        <v>子公司B</v>
      </c>
      <c r="B411" s="2" t="str">
        <v>2026-02</v>
      </c>
      <c r="C411" s="2" t="str">
        <v>利润总额</v>
      </c>
      <c r="D411" s="2" t="str">
        <v>万元</v>
      </c>
      <c r="E411" s="7" t="n">
        <v>180.23</v>
      </c>
      <c r="F411" s="7" t="n">
        <v>194.21</v>
      </c>
      <c r="G411" s="8" t="n">
        <v>-0.07198393491581287</v>
      </c>
      <c r="H411" s="7" t="n">
        <v>88.12</v>
      </c>
      <c r="I411" s="8" t="n">
        <v>-0.043317772228856743</v>
      </c>
    </row>
    <row r="412" ht="23" customHeight="1">
      <c r="A412" s="2" t="str">
        <v>子公司B</v>
      </c>
      <c r="B412" s="2" t="str">
        <v>2026-02</v>
      </c>
      <c r="C412" s="2" t="str">
        <v>经营性现金流量净额</v>
      </c>
      <c r="D412" s="2" t="str">
        <v>万元</v>
      </c>
      <c r="E412" s="7" t="n">
        <v>-59.25</v>
      </c>
      <c r="F412" s="7" t="n">
        <v>-31.66</v>
      </c>
      <c r="G412" s="8" t="n">
        <v>-0.8714466203411244</v>
      </c>
      <c r="H412" s="7" t="n">
        <v>-29.88</v>
      </c>
      <c r="I412" s="8" t="n">
        <v>-0.01736465781409595</v>
      </c>
    </row>
    <row r="413" ht="23" customHeight="1">
      <c r="A413" s="2" t="str">
        <v>子公司B</v>
      </c>
      <c r="B413" s="2" t="str">
        <v>2026-02</v>
      </c>
      <c r="C413" s="2" t="str">
        <v>资产负债率</v>
      </c>
      <c r="D413" s="2" t="str">
        <v>%</v>
      </c>
      <c r="E413" s="3" t="n">
        <v>50.6</v>
      </c>
      <c r="F413" s="3" t="n">
        <v>54.3</v>
      </c>
      <c r="G413" s="8" t="n">
        <v>-0.0681399631675874</v>
      </c>
      <c r="H413" s="3" t="n">
        <v>50.6</v>
      </c>
      <c r="I413" s="8" t="n">
        <v>-0.004916420845624385</v>
      </c>
    </row>
    <row r="414" ht="23" customHeight="1">
      <c r="A414" s="2" t="str">
        <v>子公司B</v>
      </c>
      <c r="B414" s="2" t="str">
        <v>2026-02</v>
      </c>
      <c r="C414" s="2" t="str">
        <v>净资产收益率</v>
      </c>
      <c r="D414" s="2" t="str">
        <v>%</v>
      </c>
      <c r="E414" s="3" t="n">
        <v>2.59</v>
      </c>
      <c r="F414" s="3" t="n">
        <v>3.35</v>
      </c>
      <c r="G414" s="8" t="n">
        <v>-0.2268656716417911</v>
      </c>
      <c r="H414" s="3" t="n">
        <v>1.26</v>
      </c>
      <c r="I414" s="8" t="n">
        <v>-0.05263157894736847</v>
      </c>
    </row>
    <row r="415" ht="23" customHeight="1">
      <c r="A415" s="2" t="str">
        <v>子公司B</v>
      </c>
      <c r="B415" s="2" t="str">
        <v>2026-02</v>
      </c>
      <c r="C415" s="2" t="str">
        <v>新签收入合同金额</v>
      </c>
      <c r="D415" s="2" t="str">
        <v>万元</v>
      </c>
      <c r="E415" s="7" t="n">
        <v>1461.61</v>
      </c>
      <c r="F415" s="7" t="n">
        <v>1636.96</v>
      </c>
      <c r="G415" s="8" t="n">
        <v>-0.10711929430163238</v>
      </c>
      <c r="H415" s="7" t="n">
        <v>763.41</v>
      </c>
      <c r="I415" s="8" t="n">
        <v>0.09339730736178734</v>
      </c>
    </row>
    <row r="416" ht="23" customHeight="1">
      <c r="A416" s="2" t="str">
        <v>子公司C</v>
      </c>
      <c r="B416" s="2" t="str">
        <v>2026-02</v>
      </c>
      <c r="C416" s="2" t="str">
        <v>营业总收入</v>
      </c>
      <c r="D416" s="2" t="str">
        <v>万元</v>
      </c>
      <c r="E416" s="7" t="n">
        <v>1143.25</v>
      </c>
      <c r="F416" s="7" t="n">
        <v>1047.61</v>
      </c>
      <c r="G416" s="8" t="n">
        <v>0.09129351571672675</v>
      </c>
      <c r="H416" s="7" t="n">
        <v>558.22</v>
      </c>
      <c r="I416" s="8" t="n">
        <v>-0.04582670974138069</v>
      </c>
    </row>
    <row r="417" ht="23" customHeight="1">
      <c r="A417" s="2" t="str">
        <v>子公司C</v>
      </c>
      <c r="B417" s="2" t="str">
        <v>2026-02</v>
      </c>
      <c r="C417" s="2" t="str">
        <v>利润总额</v>
      </c>
      <c r="D417" s="2" t="str">
        <v>万元</v>
      </c>
      <c r="E417" s="7" t="n">
        <v>158.6</v>
      </c>
      <c r="F417" s="7" t="n">
        <v>151.69</v>
      </c>
      <c r="G417" s="8" t="n">
        <v>0.04555343134023335</v>
      </c>
      <c r="H417" s="7" t="n">
        <v>79.05</v>
      </c>
      <c r="I417" s="8" t="n">
        <v>-0.006285355122564425</v>
      </c>
    </row>
    <row r="418" ht="23" customHeight="1">
      <c r="A418" s="2" t="str">
        <v>子公司C</v>
      </c>
      <c r="B418" s="2" t="str">
        <v>2026-02</v>
      </c>
      <c r="C418" s="2" t="str">
        <v>经营性现金流量净额</v>
      </c>
      <c r="D418" s="2" t="str">
        <v>万元</v>
      </c>
      <c r="E418" s="7" t="n">
        <v>-28.75</v>
      </c>
      <c r="F418" s="7" t="n">
        <v>-20.62</v>
      </c>
      <c r="G418" s="8" t="n">
        <v>-0.3942774005819592</v>
      </c>
      <c r="H418" s="7" t="n">
        <v>-12.59</v>
      </c>
      <c r="I418" s="8" t="n">
        <v>0.22091584158415842</v>
      </c>
    </row>
    <row r="419" ht="23" customHeight="1">
      <c r="A419" s="2" t="str">
        <v>子公司C</v>
      </c>
      <c r="B419" s="2" t="str">
        <v>2026-02</v>
      </c>
      <c r="C419" s="2" t="str">
        <v>资产负债率</v>
      </c>
      <c r="D419" s="2" t="str">
        <v>%</v>
      </c>
      <c r="E419" s="3" t="n">
        <v>43.8</v>
      </c>
      <c r="F419" s="3" t="n">
        <v>47.33</v>
      </c>
      <c r="G419" s="8" t="n">
        <v>-0.07458271709275303</v>
      </c>
      <c r="H419" s="3" t="n">
        <v>43.8</v>
      </c>
      <c r="I419" s="8" t="n">
        <v>-0.006352087114337594</v>
      </c>
    </row>
    <row r="420" ht="23" customHeight="1">
      <c r="A420" s="2" t="str">
        <v>子公司C</v>
      </c>
      <c r="B420" s="2" t="str">
        <v>2026-02</v>
      </c>
      <c r="C420" s="2" t="str">
        <v>净资产收益率</v>
      </c>
      <c r="D420" s="2" t="str">
        <v>%</v>
      </c>
      <c r="E420" s="3" t="n">
        <v>2.68</v>
      </c>
      <c r="F420" s="3" t="n">
        <v>3.08</v>
      </c>
      <c r="G420" s="8" t="n">
        <v>-0.12987012987012983</v>
      </c>
      <c r="H420" s="3" t="n">
        <v>1.33</v>
      </c>
      <c r="I420" s="8" t="n">
        <v>-0.014814814814814828</v>
      </c>
    </row>
    <row r="421" ht="23" customHeight="1">
      <c r="A421" s="2" t="str">
        <v>子公司C</v>
      </c>
      <c r="B421" s="2" t="str">
        <v>2026-02</v>
      </c>
      <c r="C421" s="2" t="str">
        <v>新签收入合同金额</v>
      </c>
      <c r="D421" s="2" t="str">
        <v>万元</v>
      </c>
      <c r="E421" s="7" t="n">
        <v>1308.8</v>
      </c>
      <c r="F421" s="7" t="n">
        <v>1088.04</v>
      </c>
      <c r="G421" s="8" t="n">
        <v>0.20289695231792948</v>
      </c>
      <c r="H421" s="7" t="n">
        <v>674.67</v>
      </c>
      <c r="I421" s="8" t="n">
        <v>0.06393010896819258</v>
      </c>
    </row>
    <row r="422" ht="23" customHeight="1">
      <c r="A422" s="2" t="str">
        <v>集团公司（合并）</v>
      </c>
      <c r="B422" s="2" t="str">
        <v>2026-03</v>
      </c>
      <c r="C422" s="2" t="str">
        <v>营业总收入</v>
      </c>
      <c r="D422" s="2" t="str">
        <v>万元</v>
      </c>
      <c r="E422" s="7" t="n">
        <v>11784.06</v>
      </c>
      <c r="F422" s="7" t="n">
        <v>11005.73</v>
      </c>
      <c r="G422" s="8" t="n">
        <v>0.07072043381038785</v>
      </c>
      <c r="H422" s="7" t="n">
        <v>4840.83</v>
      </c>
      <c r="I422" s="8" t="n">
        <v>0.4192195044724136</v>
      </c>
    </row>
    <row r="423" ht="23" customHeight="1">
      <c r="A423" s="2" t="str">
        <v>集团公司（合并）</v>
      </c>
      <c r="B423" s="2" t="str">
        <v>2026-03</v>
      </c>
      <c r="C423" s="2" t="str">
        <v>利润总额</v>
      </c>
      <c r="D423" s="2" t="str">
        <v>万元</v>
      </c>
      <c r="E423" s="7" t="n">
        <v>1376.86</v>
      </c>
      <c r="F423" s="7" t="n">
        <v>1382.79</v>
      </c>
      <c r="G423" s="8" t="n">
        <v>-0.004288431359787143</v>
      </c>
      <c r="H423" s="7" t="n">
        <v>551.17</v>
      </c>
      <c r="I423" s="8" t="n">
        <v>0.3844318295991157</v>
      </c>
    </row>
    <row r="424" ht="23" customHeight="1">
      <c r="A424" s="2" t="str">
        <v>集团公司（合并）</v>
      </c>
      <c r="B424" s="2" t="str">
        <v>2026-03</v>
      </c>
      <c r="C424" s="2" t="str">
        <v>经营性现金流量净额</v>
      </c>
      <c r="D424" s="2" t="str">
        <v>万元</v>
      </c>
      <c r="E424" s="7" t="n">
        <v>835.02</v>
      </c>
      <c r="F424" s="7" t="n">
        <v>850.08</v>
      </c>
      <c r="G424" s="8" t="n">
        <v>-0.01771597967250148</v>
      </c>
      <c r="H424" s="7" t="n">
        <v>1153.67</v>
      </c>
      <c r="I424" s="8" t="n">
        <v>8.064727495407226</v>
      </c>
    </row>
    <row r="425" ht="23" customHeight="1">
      <c r="A425" s="2" t="str">
        <v>集团公司（合并）</v>
      </c>
      <c r="B425" s="2" t="str">
        <v>2026-03</v>
      </c>
      <c r="C425" s="2" t="str">
        <v>资产负债率</v>
      </c>
      <c r="D425" s="2" t="str">
        <v>%</v>
      </c>
      <c r="E425" s="3" t="n">
        <v>55.12</v>
      </c>
      <c r="F425" s="3" t="n">
        <v>58.38</v>
      </c>
      <c r="G425" s="8" t="n">
        <v>-0.05584104145255233</v>
      </c>
      <c r="H425" s="3" t="n">
        <v>55.12</v>
      </c>
      <c r="I425" s="8" t="n">
        <v>-0.006130544536603019</v>
      </c>
    </row>
    <row r="426" ht="23" customHeight="1">
      <c r="A426" s="2" t="str">
        <v>集团公司（合并）</v>
      </c>
      <c r="B426" s="2" t="str">
        <v>2026-03</v>
      </c>
      <c r="C426" s="2" t="str">
        <v>净资产收益率</v>
      </c>
      <c r="D426" s="2" t="str">
        <v>%</v>
      </c>
      <c r="E426" s="3" t="n">
        <v>4.13</v>
      </c>
      <c r="F426" s="3" t="n">
        <v>4.85</v>
      </c>
      <c r="G426" s="8" t="n">
        <v>-0.14845360824742265</v>
      </c>
      <c r="H426" s="3" t="n">
        <v>1.63</v>
      </c>
      <c r="I426" s="8" t="n">
        <v>0.3583333333333333</v>
      </c>
    </row>
    <row r="427" ht="23" customHeight="1">
      <c r="A427" s="2" t="str">
        <v>集团公司（合并）</v>
      </c>
      <c r="B427" s="2" t="str">
        <v>2026-03</v>
      </c>
      <c r="C427" s="2" t="str">
        <v>新签收入合同金额</v>
      </c>
      <c r="D427" s="2" t="str">
        <v>万元</v>
      </c>
      <c r="E427" s="7" t="n">
        <v>13315.13</v>
      </c>
      <c r="F427" s="7" t="n">
        <v>14023.4</v>
      </c>
      <c r="G427" s="8" t="n">
        <v>-0.0505062966185091</v>
      </c>
      <c r="H427" s="7" t="n">
        <v>6213.26</v>
      </c>
      <c r="I427" s="8" t="n">
        <v>0.7853938880188502</v>
      </c>
    </row>
    <row r="428" ht="23" customHeight="1">
      <c r="A428" s="2" t="str">
        <v>集团公司（本部）</v>
      </c>
      <c r="B428" s="2" t="str">
        <v>2026-03</v>
      </c>
      <c r="C428" s="2" t="str">
        <v>营业总收入</v>
      </c>
      <c r="D428" s="2" t="str">
        <v>万元</v>
      </c>
      <c r="E428" s="7" t="n">
        <v>5149.87</v>
      </c>
      <c r="F428" s="7" t="n">
        <v>4854.2</v>
      </c>
      <c r="G428" s="8" t="n">
        <v>0.06091013967286063</v>
      </c>
      <c r="H428" s="7" t="n">
        <v>2131.73</v>
      </c>
      <c r="I428" s="8" t="n">
        <v>0.44157565511411667</v>
      </c>
    </row>
    <row r="429" ht="23" customHeight="1">
      <c r="A429" s="2" t="str">
        <v>集团公司（本部）</v>
      </c>
      <c r="B429" s="2" t="str">
        <v>2026-03</v>
      </c>
      <c r="C429" s="2" t="str">
        <v>利润总额</v>
      </c>
      <c r="D429" s="2" t="str">
        <v>万元</v>
      </c>
      <c r="E429" s="7" t="n">
        <v>552.81</v>
      </c>
      <c r="F429" s="7" t="n">
        <v>544.04</v>
      </c>
      <c r="G429" s="8" t="n">
        <v>0.016120138225130472</v>
      </c>
      <c r="H429" s="7" t="n">
        <v>214.46</v>
      </c>
      <c r="I429" s="8" t="n">
        <v>0.33262909339464364</v>
      </c>
    </row>
    <row r="430" ht="23" customHeight="1">
      <c r="A430" s="2" t="str">
        <v>集团公司（本部）</v>
      </c>
      <c r="B430" s="2" t="str">
        <v>2026-03</v>
      </c>
      <c r="C430" s="2" t="str">
        <v>经营性现金流量净额</v>
      </c>
      <c r="D430" s="2" t="str">
        <v>万元</v>
      </c>
      <c r="E430" s="7" t="n">
        <v>300.61</v>
      </c>
      <c r="F430" s="7" t="n">
        <v>295.71</v>
      </c>
      <c r="G430" s="8" t="n">
        <v>0.016570288458286953</v>
      </c>
      <c r="H430" s="7" t="n">
        <v>448.82</v>
      </c>
      <c r="I430" s="8" t="n">
        <v>6.830345544297219</v>
      </c>
    </row>
    <row r="431" ht="23" customHeight="1">
      <c r="A431" s="2" t="str">
        <v>集团公司（本部）</v>
      </c>
      <c r="B431" s="2" t="str">
        <v>2026-03</v>
      </c>
      <c r="C431" s="2" t="str">
        <v>资产负债率</v>
      </c>
      <c r="D431" s="2" t="str">
        <v>%</v>
      </c>
      <c r="E431" s="3" t="n">
        <v>54.8</v>
      </c>
      <c r="F431" s="3" t="n">
        <v>57.24</v>
      </c>
      <c r="G431" s="8" t="n">
        <v>-0.042627533193571016</v>
      </c>
      <c r="H431" s="3" t="n">
        <v>54.8</v>
      </c>
      <c r="I431" s="8" t="n">
        <v>-0.004360465116279106</v>
      </c>
    </row>
    <row r="432" ht="23" customHeight="1">
      <c r="A432" s="2" t="str">
        <v>集团公司（本部）</v>
      </c>
      <c r="B432" s="2" t="str">
        <v>2026-03</v>
      </c>
      <c r="C432" s="2" t="str">
        <v>净资产收益率</v>
      </c>
      <c r="D432" s="2" t="str">
        <v>%</v>
      </c>
      <c r="E432" s="3" t="n">
        <v>3.42</v>
      </c>
      <c r="F432" s="3" t="n">
        <v>3.81</v>
      </c>
      <c r="G432" s="8" t="n">
        <v>-0.10236220472440948</v>
      </c>
      <c r="H432" s="3" t="n">
        <v>1.31</v>
      </c>
      <c r="I432" s="8" t="n">
        <v>0.31000000000000005</v>
      </c>
    </row>
    <row r="433" ht="23" customHeight="1">
      <c r="A433" s="2" t="str">
        <v>集团公司（本部）</v>
      </c>
      <c r="B433" s="2" t="str">
        <v>2026-03</v>
      </c>
      <c r="C433" s="2" t="str">
        <v>新签收入合同金额</v>
      </c>
      <c r="D433" s="2" t="str">
        <v>万元</v>
      </c>
      <c r="E433" s="7" t="n">
        <v>5313.9</v>
      </c>
      <c r="F433" s="7" t="n">
        <v>6267.55</v>
      </c>
      <c r="G433" s="8" t="n">
        <v>-0.15215674386323214</v>
      </c>
      <c r="H433" s="7" t="n">
        <v>2323.63</v>
      </c>
      <c r="I433" s="8" t="n">
        <v>0.6860501396800057</v>
      </c>
    </row>
    <row r="434" ht="23" customHeight="1">
      <c r="A434" s="2" t="str">
        <v>子公司A</v>
      </c>
      <c r="B434" s="2" t="str">
        <v>2026-03</v>
      </c>
      <c r="C434" s="2" t="str">
        <v>营业总收入</v>
      </c>
      <c r="D434" s="2" t="str">
        <v>万元</v>
      </c>
      <c r="E434" s="7" t="n">
        <v>3047.2</v>
      </c>
      <c r="F434" s="7" t="n">
        <v>2843.45</v>
      </c>
      <c r="G434" s="8" t="n">
        <v>0.07165591095324342</v>
      </c>
      <c r="H434" s="7" t="n">
        <v>1259.04</v>
      </c>
      <c r="I434" s="8" t="n">
        <v>0.42560804384256534</v>
      </c>
    </row>
    <row r="435" ht="23" customHeight="1">
      <c r="A435" s="2" t="str">
        <v>子公司A</v>
      </c>
      <c r="B435" s="2" t="str">
        <v>2026-03</v>
      </c>
      <c r="C435" s="2" t="str">
        <v>利润总额</v>
      </c>
      <c r="D435" s="2" t="str">
        <v>万元</v>
      </c>
      <c r="E435" s="7" t="n">
        <v>341.44</v>
      </c>
      <c r="F435" s="7" t="n">
        <v>366.3</v>
      </c>
      <c r="G435" s="8" t="n">
        <v>-0.0678678678678679</v>
      </c>
      <c r="H435" s="7" t="n">
        <v>135.01</v>
      </c>
      <c r="I435" s="8" t="n">
        <v>0.3710774855285873</v>
      </c>
    </row>
    <row r="436" ht="23" customHeight="1">
      <c r="A436" s="2" t="str">
        <v>子公司A</v>
      </c>
      <c r="B436" s="2" t="str">
        <v>2026-03</v>
      </c>
      <c r="C436" s="2" t="str">
        <v>经营性现金流量净额</v>
      </c>
      <c r="D436" s="2" t="str">
        <v>万元</v>
      </c>
      <c r="E436" s="7" t="n">
        <v>190.15</v>
      </c>
      <c r="F436" s="7" t="n">
        <v>212.21</v>
      </c>
      <c r="G436" s="8" t="n">
        <v>-0.10395363083737807</v>
      </c>
      <c r="H436" s="7" t="n">
        <v>272.59</v>
      </c>
      <c r="I436" s="8" t="n">
        <v>7.216419612314709</v>
      </c>
    </row>
    <row r="437" ht="23" customHeight="1">
      <c r="A437" s="2" t="str">
        <v>子公司A</v>
      </c>
      <c r="B437" s="2" t="str">
        <v>2026-03</v>
      </c>
      <c r="C437" s="2" t="str">
        <v>资产负债率</v>
      </c>
      <c r="D437" s="2" t="str">
        <v>%</v>
      </c>
      <c r="E437" s="3" t="n">
        <v>57.49</v>
      </c>
      <c r="F437" s="3" t="n">
        <v>60.89</v>
      </c>
      <c r="G437" s="8" t="n">
        <v>-0.05583839710954177</v>
      </c>
      <c r="H437" s="3" t="n">
        <v>57.49</v>
      </c>
      <c r="I437" s="8" t="n">
        <v>-0.005535374502681201</v>
      </c>
    </row>
    <row r="438" ht="23" customHeight="1">
      <c r="A438" s="2" t="str">
        <v>子公司A</v>
      </c>
      <c r="B438" s="2" t="str">
        <v>2026-03</v>
      </c>
      <c r="C438" s="2" t="str">
        <v>净资产收益率</v>
      </c>
      <c r="D438" s="2" t="str">
        <v>%</v>
      </c>
      <c r="E438" s="3" t="n">
        <v>4.25</v>
      </c>
      <c r="F438" s="3" t="n">
        <v>5.41</v>
      </c>
      <c r="G438" s="8" t="n">
        <v>-0.21441774491682072</v>
      </c>
      <c r="H438" s="3" t="n">
        <v>1.66</v>
      </c>
      <c r="I438" s="8" t="n">
        <v>0.3495934959349593</v>
      </c>
    </row>
    <row r="439" ht="23" customHeight="1">
      <c r="A439" s="2" t="str">
        <v>子公司A</v>
      </c>
      <c r="B439" s="2" t="str">
        <v>2026-03</v>
      </c>
      <c r="C439" s="2" t="str">
        <v>新签收入合同金额</v>
      </c>
      <c r="D439" s="2" t="str">
        <v>万元</v>
      </c>
      <c r="E439" s="7" t="n">
        <v>3175.54</v>
      </c>
      <c r="F439" s="7" t="n">
        <v>3713.92</v>
      </c>
      <c r="G439" s="8" t="n">
        <v>-0.1449627347923488</v>
      </c>
      <c r="H439" s="7" t="n">
        <v>1538.44</v>
      </c>
      <c r="I439" s="8" t="n">
        <v>0.9020795727108627</v>
      </c>
    </row>
    <row r="440" ht="23" customHeight="1">
      <c r="A440" s="2" t="str">
        <v>子公司B</v>
      </c>
      <c r="B440" s="2" t="str">
        <v>2026-03</v>
      </c>
      <c r="C440" s="2" t="str">
        <v>营业总收入</v>
      </c>
      <c r="D440" s="2" t="str">
        <v>万元</v>
      </c>
      <c r="E440" s="7" t="n">
        <v>2492.7</v>
      </c>
      <c r="F440" s="7" t="n">
        <v>2304.04</v>
      </c>
      <c r="G440" s="8" t="n">
        <v>0.08188225898855916</v>
      </c>
      <c r="H440" s="7" t="n">
        <v>1016.34</v>
      </c>
      <c r="I440" s="8" t="n">
        <v>0.3962632229701883</v>
      </c>
    </row>
    <row r="441" ht="23" customHeight="1">
      <c r="A441" s="2" t="str">
        <v>子公司B</v>
      </c>
      <c r="B441" s="2" t="str">
        <v>2026-03</v>
      </c>
      <c r="C441" s="2" t="str">
        <v>利润总额</v>
      </c>
      <c r="D441" s="2" t="str">
        <v>万元</v>
      </c>
      <c r="E441" s="7" t="n">
        <v>306.94</v>
      </c>
      <c r="F441" s="7" t="n">
        <v>314.75</v>
      </c>
      <c r="G441" s="8" t="n">
        <v>-0.024813343923749013</v>
      </c>
      <c r="H441" s="7" t="n">
        <v>126.71</v>
      </c>
      <c r="I441" s="8" t="n">
        <v>0.4379255560599182</v>
      </c>
    </row>
    <row r="442" ht="23" customHeight="1">
      <c r="A442" s="2" t="str">
        <v>子公司B</v>
      </c>
      <c r="B442" s="2" t="str">
        <v>2026-03</v>
      </c>
      <c r="C442" s="2" t="str">
        <v>经营性现金流量净额</v>
      </c>
      <c r="D442" s="2" t="str">
        <v>万元</v>
      </c>
      <c r="E442" s="7" t="n">
        <v>176.75</v>
      </c>
      <c r="F442" s="7" t="n">
        <v>188.15</v>
      </c>
      <c r="G442" s="8" t="n">
        <v>-0.06058995482327933</v>
      </c>
      <c r="H442" s="7" t="n">
        <v>236</v>
      </c>
      <c r="I442" s="8" t="n">
        <v>8.898259705488622</v>
      </c>
    </row>
    <row r="443" ht="23" customHeight="1">
      <c r="A443" s="2" t="str">
        <v>子公司B</v>
      </c>
      <c r="B443" s="2" t="str">
        <v>2026-03</v>
      </c>
      <c r="C443" s="2" t="str">
        <v>资产负债率</v>
      </c>
      <c r="D443" s="2" t="str">
        <v>%</v>
      </c>
      <c r="E443" s="3" t="n">
        <v>50.22</v>
      </c>
      <c r="F443" s="3" t="n">
        <v>53.83</v>
      </c>
      <c r="G443" s="8" t="n">
        <v>-0.06706297603566784</v>
      </c>
      <c r="H443" s="3" t="n">
        <v>50.22</v>
      </c>
      <c r="I443" s="8" t="n">
        <v>-0.0075098814229249515</v>
      </c>
    </row>
    <row r="444" ht="23" customHeight="1">
      <c r="A444" s="2" t="str">
        <v>子公司B</v>
      </c>
      <c r="B444" s="2" t="str">
        <v>2026-03</v>
      </c>
      <c r="C444" s="2" t="str">
        <v>净资产收益率</v>
      </c>
      <c r="D444" s="2" t="str">
        <v>%</v>
      </c>
      <c r="E444" s="3" t="n">
        <v>4.37</v>
      </c>
      <c r="F444" s="3" t="n">
        <v>5.37</v>
      </c>
      <c r="G444" s="8" t="n">
        <v>-0.186219739292365</v>
      </c>
      <c r="H444" s="3" t="n">
        <v>1.78</v>
      </c>
      <c r="I444" s="8" t="n">
        <v>0.41269841269841273</v>
      </c>
    </row>
    <row r="445" ht="23" customHeight="1">
      <c r="A445" s="2" t="str">
        <v>子公司B</v>
      </c>
      <c r="B445" s="2" t="str">
        <v>2026-03</v>
      </c>
      <c r="C445" s="2" t="str">
        <v>新签收入合同金额</v>
      </c>
      <c r="D445" s="2" t="str">
        <v>万元</v>
      </c>
      <c r="E445" s="7" t="n">
        <v>2908.63</v>
      </c>
      <c r="F445" s="7" t="n">
        <v>2753.94</v>
      </c>
      <c r="G445" s="8" t="n">
        <v>0.056170432180802796</v>
      </c>
      <c r="H445" s="7" t="n">
        <v>1447.02</v>
      </c>
      <c r="I445" s="8" t="n">
        <v>0.8954690140291587</v>
      </c>
    </row>
    <row r="446" ht="23" customHeight="1">
      <c r="A446" s="2" t="str">
        <v>子公司C</v>
      </c>
      <c r="B446" s="2" t="str">
        <v>2026-03</v>
      </c>
      <c r="C446" s="2" t="str">
        <v>营业总收入</v>
      </c>
      <c r="D446" s="2" t="str">
        <v>万元</v>
      </c>
      <c r="E446" s="7" t="n">
        <v>1913.5</v>
      </c>
      <c r="F446" s="7" t="n">
        <v>1769.14</v>
      </c>
      <c r="G446" s="8" t="n">
        <v>0.08159896899058293</v>
      </c>
      <c r="H446" s="7" t="n">
        <v>770.25</v>
      </c>
      <c r="I446" s="8" t="n">
        <v>0.37983232417326496</v>
      </c>
    </row>
    <row r="447" ht="23" customHeight="1">
      <c r="A447" s="2" t="str">
        <v>子公司C</v>
      </c>
      <c r="B447" s="2" t="str">
        <v>2026-03</v>
      </c>
      <c r="C447" s="2" t="str">
        <v>利润总额</v>
      </c>
      <c r="D447" s="2" t="str">
        <v>万元</v>
      </c>
      <c r="E447" s="7" t="n">
        <v>273.97</v>
      </c>
      <c r="F447" s="7" t="n">
        <v>249.52</v>
      </c>
      <c r="G447" s="8" t="n">
        <v>0.09798813722346912</v>
      </c>
      <c r="H447" s="7" t="n">
        <v>115.37</v>
      </c>
      <c r="I447" s="8" t="n">
        <v>0.45945604048070854</v>
      </c>
    </row>
    <row r="448" ht="23" customHeight="1">
      <c r="A448" s="2" t="str">
        <v>子公司C</v>
      </c>
      <c r="B448" s="2" t="str">
        <v>2026-03</v>
      </c>
      <c r="C448" s="2" t="str">
        <v>经营性现金流量净额</v>
      </c>
      <c r="D448" s="2" t="str">
        <v>万元</v>
      </c>
      <c r="E448" s="7" t="n">
        <v>167.51</v>
      </c>
      <c r="F448" s="7" t="n">
        <v>154.01</v>
      </c>
      <c r="G448" s="8" t="n">
        <v>0.08765664567235894</v>
      </c>
      <c r="H448" s="7" t="n">
        <v>196.26</v>
      </c>
      <c r="I448" s="8" t="n">
        <v>16.58856235107228</v>
      </c>
    </row>
    <row r="449" ht="23" customHeight="1">
      <c r="A449" s="2" t="str">
        <v>子公司C</v>
      </c>
      <c r="B449" s="2" t="str">
        <v>2026-03</v>
      </c>
      <c r="C449" s="2" t="str">
        <v>资产负债率</v>
      </c>
      <c r="D449" s="2" t="str">
        <v>%</v>
      </c>
      <c r="E449" s="3" t="n">
        <v>43.36</v>
      </c>
      <c r="F449" s="3" t="n">
        <v>46.87</v>
      </c>
      <c r="G449" s="8" t="n">
        <v>-0.07488798805205885</v>
      </c>
      <c r="H449" s="3" t="n">
        <v>43.36</v>
      </c>
      <c r="I449" s="8" t="n">
        <v>-0.01004566210045657</v>
      </c>
    </row>
    <row r="450" ht="23" customHeight="1">
      <c r="A450" s="2" t="str">
        <v>子公司C</v>
      </c>
      <c r="B450" s="2" t="str">
        <v>2026-03</v>
      </c>
      <c r="C450" s="2" t="str">
        <v>净资产收益率</v>
      </c>
      <c r="D450" s="2" t="str">
        <v>%</v>
      </c>
      <c r="E450" s="3" t="n">
        <v>4.58</v>
      </c>
      <c r="F450" s="3" t="n">
        <v>5.01</v>
      </c>
      <c r="G450" s="8" t="n">
        <v>-0.0858283433133732</v>
      </c>
      <c r="H450" s="3" t="n">
        <v>1.9</v>
      </c>
      <c r="I450" s="8" t="n">
        <v>0.42857142857142844</v>
      </c>
    </row>
    <row r="451" ht="23" customHeight="1">
      <c r="A451" s="2" t="str">
        <v>子公司C</v>
      </c>
      <c r="B451" s="2" t="str">
        <v>2026-03</v>
      </c>
      <c r="C451" s="2" t="str">
        <v>新签收入合同金额</v>
      </c>
      <c r="D451" s="2" t="str">
        <v>万元</v>
      </c>
      <c r="E451" s="7" t="n">
        <v>2471.86</v>
      </c>
      <c r="F451" s="7" t="n">
        <v>1872.3</v>
      </c>
      <c r="G451" s="8" t="n">
        <v>0.32022645943491973</v>
      </c>
      <c r="H451" s="7" t="n">
        <v>1163.06</v>
      </c>
      <c r="I451" s="8" t="n">
        <v>0.7238946447893044</v>
      </c>
    </row>
    <row r="452" ht="23" customHeight="1">
      <c r="A452" s="2" t="str">
        <v>集团公司（合并）</v>
      </c>
      <c r="B452" s="2" t="str">
        <v>2026-04</v>
      </c>
      <c r="C452" s="2" t="str">
        <v>营业总收入</v>
      </c>
      <c r="D452" s="2" t="str">
        <v>万元</v>
      </c>
      <c r="E452" s="7" t="n">
        <v>16165.95</v>
      </c>
      <c r="F452" s="7" t="n">
        <v>15065.37</v>
      </c>
      <c r="G452" s="8" t="n">
        <v>0.07305363227056487</v>
      </c>
      <c r="H452" s="7" t="n">
        <v>4381.89</v>
      </c>
      <c r="I452" s="8" t="n">
        <v>-0.09480605598626674</v>
      </c>
    </row>
    <row r="453" ht="23" customHeight="1">
      <c r="A453" s="2" t="str">
        <v>集团公司（合并）</v>
      </c>
      <c r="B453" s="2" t="str">
        <v>2026-04</v>
      </c>
      <c r="C453" s="2" t="str">
        <v>利润总额</v>
      </c>
      <c r="D453" s="2" t="str">
        <v>万元</v>
      </c>
      <c r="E453" s="7" t="n">
        <v>1876.55</v>
      </c>
      <c r="F453" s="7" t="n">
        <v>1874.64</v>
      </c>
      <c r="G453" s="8" t="n">
        <v>0.0010188622882259283</v>
      </c>
      <c r="H453" s="7" t="n">
        <v>499.69</v>
      </c>
      <c r="I453" s="8" t="n">
        <v>-0.0934013099406716</v>
      </c>
    </row>
    <row r="454" ht="23" customHeight="1">
      <c r="A454" s="2" t="str">
        <v>集团公司（合并）</v>
      </c>
      <c r="B454" s="2" t="str">
        <v>2026-04</v>
      </c>
      <c r="C454" s="2" t="str">
        <v>经营性现金流量净额</v>
      </c>
      <c r="D454" s="2" t="str">
        <v>万元</v>
      </c>
      <c r="E454" s="7" t="n">
        <v>1233.28</v>
      </c>
      <c r="F454" s="7" t="n">
        <v>1245.07</v>
      </c>
      <c r="G454" s="8" t="n">
        <v>-0.00946934710498202</v>
      </c>
      <c r="H454" s="7" t="n">
        <v>398.26</v>
      </c>
      <c r="I454" s="8" t="n">
        <v>-0.6547886310643425</v>
      </c>
    </row>
    <row r="455" ht="23" customHeight="1">
      <c r="A455" s="2" t="str">
        <v>集团公司（合并）</v>
      </c>
      <c r="B455" s="2" t="str">
        <v>2026-04</v>
      </c>
      <c r="C455" s="2" t="str">
        <v>资产负债率</v>
      </c>
      <c r="D455" s="2" t="str">
        <v>%</v>
      </c>
      <c r="E455" s="3" t="n">
        <v>54.79</v>
      </c>
      <c r="F455" s="3" t="n">
        <v>58</v>
      </c>
      <c r="G455" s="8" t="n">
        <v>-0.05534482758620691</v>
      </c>
      <c r="H455" s="3" t="n">
        <v>54.79</v>
      </c>
      <c r="I455" s="8" t="n">
        <v>-0.005986937590711145</v>
      </c>
    </row>
    <row r="456" ht="23" customHeight="1">
      <c r="A456" s="2" t="str">
        <v>集团公司（合并）</v>
      </c>
      <c r="B456" s="2" t="str">
        <v>2026-04</v>
      </c>
      <c r="C456" s="2" t="str">
        <v>净资产收益率</v>
      </c>
      <c r="D456" s="2" t="str">
        <v>%</v>
      </c>
      <c r="E456" s="3" t="n">
        <v>5.58</v>
      </c>
      <c r="F456" s="3" t="n">
        <v>6.52</v>
      </c>
      <c r="G456" s="8" t="n">
        <v>-0.14417177914110424</v>
      </c>
      <c r="H456" s="3" t="n">
        <v>1.46</v>
      </c>
      <c r="I456" s="8" t="n">
        <v>-0.10429447852760733</v>
      </c>
    </row>
    <row r="457" ht="23" customHeight="1">
      <c r="A457" s="2" t="str">
        <v>集团公司（合并）</v>
      </c>
      <c r="B457" s="2" t="str">
        <v>2026-04</v>
      </c>
      <c r="C457" s="2" t="str">
        <v>新签收入合同金额</v>
      </c>
      <c r="D457" s="2" t="str">
        <v>万元</v>
      </c>
      <c r="E457" s="7" t="n">
        <v>18297.56</v>
      </c>
      <c r="F457" s="7" t="n">
        <v>18447.44</v>
      </c>
      <c r="G457" s="8" t="n">
        <v>-0.008124704566053468</v>
      </c>
      <c r="H457" s="7" t="n">
        <v>4982.43</v>
      </c>
      <c r="I457" s="8" t="n">
        <v>-0.1980972951397495</v>
      </c>
    </row>
    <row r="458" ht="23" customHeight="1">
      <c r="A458" s="2" t="str">
        <v>集团公司（本部）</v>
      </c>
      <c r="B458" s="2" t="str">
        <v>2026-04</v>
      </c>
      <c r="C458" s="2" t="str">
        <v>营业总收入</v>
      </c>
      <c r="D458" s="2" t="str">
        <v>万元</v>
      </c>
      <c r="E458" s="7" t="n">
        <v>7099.98</v>
      </c>
      <c r="F458" s="7" t="n">
        <v>6623.34</v>
      </c>
      <c r="G458" s="8" t="n">
        <v>0.07196369203453233</v>
      </c>
      <c r="H458" s="7" t="n">
        <v>1950.11</v>
      </c>
      <c r="I458" s="8" t="n">
        <v>-0.08519840692770667</v>
      </c>
    </row>
    <row r="459" ht="23" customHeight="1">
      <c r="A459" s="2" t="str">
        <v>集团公司（本部）</v>
      </c>
      <c r="B459" s="2" t="str">
        <v>2026-04</v>
      </c>
      <c r="C459" s="2" t="str">
        <v>利润总额</v>
      </c>
      <c r="D459" s="2" t="str">
        <v>万元</v>
      </c>
      <c r="E459" s="7" t="n">
        <v>736.99</v>
      </c>
      <c r="F459" s="7" t="n">
        <v>748.13</v>
      </c>
      <c r="G459" s="8" t="n">
        <v>-0.014890460214133889</v>
      </c>
      <c r="H459" s="7" t="n">
        <v>184.18</v>
      </c>
      <c r="I459" s="8" t="n">
        <v>-0.1411918306444092</v>
      </c>
    </row>
    <row r="460" ht="23" customHeight="1">
      <c r="A460" s="2" t="str">
        <v>集团公司（本部）</v>
      </c>
      <c r="B460" s="2" t="str">
        <v>2026-04</v>
      </c>
      <c r="C460" s="2" t="str">
        <v>经营性现金流量净额</v>
      </c>
      <c r="D460" s="2" t="str">
        <v>万元</v>
      </c>
      <c r="E460" s="7" t="n">
        <v>431.27</v>
      </c>
      <c r="F460" s="7" t="n">
        <v>447.55</v>
      </c>
      <c r="G460" s="8" t="n">
        <v>-0.03637582393028718</v>
      </c>
      <c r="H460" s="7" t="n">
        <v>130.66</v>
      </c>
      <c r="I460" s="8" t="n">
        <v>-0.7088810659061539</v>
      </c>
    </row>
    <row r="461" ht="23" customHeight="1">
      <c r="A461" s="2" t="str">
        <v>集团公司（本部）</v>
      </c>
      <c r="B461" s="2" t="str">
        <v>2026-04</v>
      </c>
      <c r="C461" s="2" t="str">
        <v>资产负债率</v>
      </c>
      <c r="D461" s="2" t="str">
        <v>%</v>
      </c>
      <c r="E461" s="3" t="n">
        <v>54.6</v>
      </c>
      <c r="F461" s="3" t="n">
        <v>56.95</v>
      </c>
      <c r="G461" s="8" t="n">
        <v>-0.041264266900790186</v>
      </c>
      <c r="H461" s="3" t="n">
        <v>54.6</v>
      </c>
      <c r="I461" s="8" t="n">
        <v>-0.0036496350364962726</v>
      </c>
    </row>
    <row r="462" ht="23" customHeight="1">
      <c r="A462" s="2" t="str">
        <v>集团公司（本部）</v>
      </c>
      <c r="B462" s="2" t="str">
        <v>2026-04</v>
      </c>
      <c r="C462" s="2" t="str">
        <v>净资产收益率</v>
      </c>
      <c r="D462" s="2" t="str">
        <v>%</v>
      </c>
      <c r="E462" s="3" t="n">
        <v>4.54</v>
      </c>
      <c r="F462" s="3" t="n">
        <v>5.2</v>
      </c>
      <c r="G462" s="8" t="n">
        <v>-0.12692307692307694</v>
      </c>
      <c r="H462" s="3" t="n">
        <v>1.11</v>
      </c>
      <c r="I462" s="8" t="n">
        <v>-0.1526717557251908</v>
      </c>
    </row>
    <row r="463" ht="23" customHeight="1">
      <c r="A463" s="2" t="str">
        <v>集团公司（本部）</v>
      </c>
      <c r="B463" s="2" t="str">
        <v>2026-04</v>
      </c>
      <c r="C463" s="2" t="str">
        <v>新签收入合同金额</v>
      </c>
      <c r="D463" s="2" t="str">
        <v>万元</v>
      </c>
      <c r="E463" s="7" t="n">
        <v>7231.54</v>
      </c>
      <c r="F463" s="7" t="n">
        <v>8385.48</v>
      </c>
      <c r="G463" s="8" t="n">
        <v>-0.13761168114407282</v>
      </c>
      <c r="H463" s="7" t="n">
        <v>1917.64</v>
      </c>
      <c r="I463" s="8" t="n">
        <v>-0.17472230948989295</v>
      </c>
    </row>
    <row r="464" ht="23" customHeight="1">
      <c r="A464" s="2" t="str">
        <v>子公司A</v>
      </c>
      <c r="B464" s="2" t="str">
        <v>2026-04</v>
      </c>
      <c r="C464" s="2" t="str">
        <v>营业总收入</v>
      </c>
      <c r="D464" s="2" t="str">
        <v>万元</v>
      </c>
      <c r="E464" s="7" t="n">
        <v>4176.87</v>
      </c>
      <c r="F464" s="7" t="n">
        <v>3883.35</v>
      </c>
      <c r="G464" s="8" t="n">
        <v>0.0755842249604079</v>
      </c>
      <c r="H464" s="7" t="n">
        <v>1129.67</v>
      </c>
      <c r="I464" s="8" t="n">
        <v>-0.10275289109162528</v>
      </c>
    </row>
    <row r="465" ht="23" customHeight="1">
      <c r="A465" s="2" t="str">
        <v>子公司A</v>
      </c>
      <c r="B465" s="2" t="str">
        <v>2026-04</v>
      </c>
      <c r="C465" s="2" t="str">
        <v>利润总额</v>
      </c>
      <c r="D465" s="2" t="str">
        <v>万元</v>
      </c>
      <c r="E465" s="7" t="n">
        <v>464</v>
      </c>
      <c r="F465" s="7" t="n">
        <v>490.57</v>
      </c>
      <c r="G465" s="8" t="n">
        <v>-0.05416148561876999</v>
      </c>
      <c r="H465" s="7" t="n">
        <v>122.56</v>
      </c>
      <c r="I465" s="8" t="n">
        <v>-0.09221539145248492</v>
      </c>
    </row>
    <row r="466" ht="23" customHeight="1">
      <c r="A466" s="2" t="str">
        <v>子公司A</v>
      </c>
      <c r="B466" s="2" t="str">
        <v>2026-04</v>
      </c>
      <c r="C466" s="2" t="str">
        <v>经营性现金流量净额</v>
      </c>
      <c r="D466" s="2" t="str">
        <v>万元</v>
      </c>
      <c r="E466" s="7" t="n">
        <v>280.12</v>
      </c>
      <c r="F466" s="7" t="n">
        <v>305.33</v>
      </c>
      <c r="G466" s="8" t="n">
        <v>-0.08256640356335762</v>
      </c>
      <c r="H466" s="7" t="n">
        <v>89.97</v>
      </c>
      <c r="I466" s="8" t="n">
        <v>-0.6699438717487802</v>
      </c>
    </row>
    <row r="467" ht="23" customHeight="1">
      <c r="A467" s="2" t="str">
        <v>子公司A</v>
      </c>
      <c r="B467" s="2" t="str">
        <v>2026-04</v>
      </c>
      <c r="C467" s="2" t="str">
        <v>资产负债率</v>
      </c>
      <c r="D467" s="2" t="str">
        <v>%</v>
      </c>
      <c r="E467" s="3" t="n">
        <v>57.17</v>
      </c>
      <c r="F467" s="3" t="n">
        <v>60.49</v>
      </c>
      <c r="G467" s="8" t="n">
        <v>-0.0548851049760291</v>
      </c>
      <c r="H467" s="3" t="n">
        <v>57.17</v>
      </c>
      <c r="I467" s="8" t="n">
        <v>-0.005566185423551927</v>
      </c>
    </row>
    <row r="468" ht="23" customHeight="1">
      <c r="A468" s="2" t="str">
        <v>子公司A</v>
      </c>
      <c r="B468" s="2" t="str">
        <v>2026-04</v>
      </c>
      <c r="C468" s="2" t="str">
        <v>净资产收益率</v>
      </c>
      <c r="D468" s="2" t="str">
        <v>%</v>
      </c>
      <c r="E468" s="3" t="n">
        <v>5.73</v>
      </c>
      <c r="F468" s="3" t="n">
        <v>7.18</v>
      </c>
      <c r="G468" s="8" t="n">
        <v>-0.2019498607242339</v>
      </c>
      <c r="H468" s="3" t="n">
        <v>1.48</v>
      </c>
      <c r="I468" s="8" t="n">
        <v>-0.10843373493975901</v>
      </c>
    </row>
    <row r="469" ht="23" customHeight="1">
      <c r="A469" s="2" t="str">
        <v>子公司A</v>
      </c>
      <c r="B469" s="2" t="str">
        <v>2026-04</v>
      </c>
      <c r="C469" s="2" t="str">
        <v>新签收入合同金额</v>
      </c>
      <c r="D469" s="2" t="str">
        <v>万元</v>
      </c>
      <c r="E469" s="7" t="n">
        <v>4477.05</v>
      </c>
      <c r="F469" s="7" t="n">
        <v>4788.06</v>
      </c>
      <c r="G469" s="8" t="n">
        <v>-0.06495532637435625</v>
      </c>
      <c r="H469" s="7" t="n">
        <v>1301.51</v>
      </c>
      <c r="I469" s="8" t="n">
        <v>-0.15400665609318534</v>
      </c>
    </row>
    <row r="470" ht="23" customHeight="1">
      <c r="A470" s="2" t="str">
        <v>子公司B</v>
      </c>
      <c r="B470" s="2" t="str">
        <v>2026-04</v>
      </c>
      <c r="C470" s="2" t="str">
        <v>营业总收入</v>
      </c>
      <c r="D470" s="2" t="str">
        <v>万元</v>
      </c>
      <c r="E470" s="7" t="n">
        <v>3400.74</v>
      </c>
      <c r="F470" s="7" t="n">
        <v>3164.15</v>
      </c>
      <c r="G470" s="8" t="n">
        <v>0.07477205568636117</v>
      </c>
      <c r="H470" s="7" t="n">
        <v>908.04</v>
      </c>
      <c r="I470" s="8" t="n">
        <v>-0.10655882873841438</v>
      </c>
    </row>
    <row r="471" ht="23" customHeight="1">
      <c r="A471" s="2" t="str">
        <v>子公司B</v>
      </c>
      <c r="B471" s="2" t="str">
        <v>2026-04</v>
      </c>
      <c r="C471" s="2" t="str">
        <v>利润总额</v>
      </c>
      <c r="D471" s="2" t="str">
        <v>万元</v>
      </c>
      <c r="E471" s="7" t="n">
        <v>426.99</v>
      </c>
      <c r="F471" s="7" t="n">
        <v>420.7</v>
      </c>
      <c r="G471" s="8" t="n">
        <v>0.014951271690040457</v>
      </c>
      <c r="H471" s="7" t="n">
        <v>120.05</v>
      </c>
      <c r="I471" s="8" t="n">
        <v>-0.052560965985320784</v>
      </c>
    </row>
    <row r="472" ht="23" customHeight="1">
      <c r="A472" s="2" t="str">
        <v>子公司B</v>
      </c>
      <c r="B472" s="2" t="str">
        <v>2026-04</v>
      </c>
      <c r="C472" s="2" t="str">
        <v>经营性现金流量净额</v>
      </c>
      <c r="D472" s="2" t="str">
        <v>万元</v>
      </c>
      <c r="E472" s="7" t="n">
        <v>268.45</v>
      </c>
      <c r="F472" s="7" t="n">
        <v>268.02</v>
      </c>
      <c r="G472" s="8" t="n">
        <v>0.001604357883740045</v>
      </c>
      <c r="H472" s="7" t="n">
        <v>91.7</v>
      </c>
      <c r="I472" s="8" t="n">
        <v>-0.6114406779661018</v>
      </c>
    </row>
    <row r="473" ht="23" customHeight="1">
      <c r="A473" s="2" t="str">
        <v>子公司B</v>
      </c>
      <c r="B473" s="2" t="str">
        <v>2026-04</v>
      </c>
      <c r="C473" s="2" t="str">
        <v>资产负债率</v>
      </c>
      <c r="D473" s="2" t="str">
        <v>%</v>
      </c>
      <c r="E473" s="3" t="n">
        <v>49.82</v>
      </c>
      <c r="F473" s="3" t="n">
        <v>53.42</v>
      </c>
      <c r="G473" s="8" t="n">
        <v>-0.06739049045301387</v>
      </c>
      <c r="H473" s="3" t="n">
        <v>49.82</v>
      </c>
      <c r="I473" s="8" t="n">
        <v>-0.007964954201513313</v>
      </c>
    </row>
    <row r="474" ht="23" customHeight="1">
      <c r="A474" s="2" t="str">
        <v>子公司B</v>
      </c>
      <c r="B474" s="2" t="str">
        <v>2026-04</v>
      </c>
      <c r="C474" s="2" t="str">
        <v>净资产收益率</v>
      </c>
      <c r="D474" s="2" t="str">
        <v>%</v>
      </c>
      <c r="E474" s="3" t="n">
        <v>6.03</v>
      </c>
      <c r="F474" s="3" t="n">
        <v>7.12</v>
      </c>
      <c r="G474" s="8" t="n">
        <v>-0.15308988764044942</v>
      </c>
      <c r="H474" s="3" t="n">
        <v>1.66</v>
      </c>
      <c r="I474" s="8" t="n">
        <v>-0.0674157303370787</v>
      </c>
    </row>
    <row r="475" ht="23" customHeight="1">
      <c r="A475" s="2" t="str">
        <v>子公司B</v>
      </c>
      <c r="B475" s="2" t="str">
        <v>2026-04</v>
      </c>
      <c r="C475" s="2" t="str">
        <v>新签收入合同金额</v>
      </c>
      <c r="D475" s="2" t="str">
        <v>万元</v>
      </c>
      <c r="E475" s="7" t="n">
        <v>4046.17</v>
      </c>
      <c r="F475" s="7" t="n">
        <v>3536.76</v>
      </c>
      <c r="G475" s="8" t="n">
        <v>0.14403295671744756</v>
      </c>
      <c r="H475" s="7" t="n">
        <v>1137.54</v>
      </c>
      <c r="I475" s="8" t="n">
        <v>-0.21387403076667913</v>
      </c>
    </row>
    <row r="476" ht="23" customHeight="1">
      <c r="A476" s="2" t="str">
        <v>子公司C</v>
      </c>
      <c r="B476" s="2" t="str">
        <v>2026-04</v>
      </c>
      <c r="C476" s="2" t="str">
        <v>营业总收入</v>
      </c>
      <c r="D476" s="2" t="str">
        <v>万元</v>
      </c>
      <c r="E476" s="7" t="n">
        <v>2612.19</v>
      </c>
      <c r="F476" s="7" t="n">
        <v>2441.85</v>
      </c>
      <c r="G476" s="8" t="n">
        <v>0.06975858467964868</v>
      </c>
      <c r="H476" s="7" t="n">
        <v>698.69</v>
      </c>
      <c r="I476" s="8" t="n">
        <v>-0.09290490100616676</v>
      </c>
    </row>
    <row r="477" ht="23" customHeight="1">
      <c r="A477" s="2" t="str">
        <v>子公司C</v>
      </c>
      <c r="B477" s="2" t="str">
        <v>2026-04</v>
      </c>
      <c r="C477" s="2" t="str">
        <v>利润总额</v>
      </c>
      <c r="D477" s="2" t="str">
        <v>万元</v>
      </c>
      <c r="E477" s="7" t="n">
        <v>383.42</v>
      </c>
      <c r="F477" s="7" t="n">
        <v>340.93</v>
      </c>
      <c r="G477" s="8" t="n">
        <v>0.12462968937905144</v>
      </c>
      <c r="H477" s="7" t="n">
        <v>109.45</v>
      </c>
      <c r="I477" s="8" t="n">
        <v>-0.05131316633440237</v>
      </c>
    </row>
    <row r="478" ht="23" customHeight="1">
      <c r="A478" s="2" t="str">
        <v>子公司C</v>
      </c>
      <c r="B478" s="2" t="str">
        <v>2026-04</v>
      </c>
      <c r="C478" s="2" t="str">
        <v>经营性现金流量净额</v>
      </c>
      <c r="D478" s="2" t="str">
        <v>万元</v>
      </c>
      <c r="E478" s="7" t="n">
        <v>253.44</v>
      </c>
      <c r="F478" s="7" t="n">
        <v>224.17</v>
      </c>
      <c r="G478" s="8" t="n">
        <v>0.13057054913681587</v>
      </c>
      <c r="H478" s="7" t="n">
        <v>85.93</v>
      </c>
      <c r="I478" s="8" t="n">
        <v>-0.5621624375827983</v>
      </c>
    </row>
    <row r="479" ht="23" customHeight="1">
      <c r="A479" s="2" t="str">
        <v>子公司C</v>
      </c>
      <c r="B479" s="2" t="str">
        <v>2026-04</v>
      </c>
      <c r="C479" s="2" t="str">
        <v>资产负债率</v>
      </c>
      <c r="D479" s="2" t="str">
        <v>%</v>
      </c>
      <c r="E479" s="3" t="n">
        <v>42.96</v>
      </c>
      <c r="F479" s="3" t="n">
        <v>46.49</v>
      </c>
      <c r="G479" s="8" t="n">
        <v>-0.07593030759303078</v>
      </c>
      <c r="H479" s="3" t="n">
        <v>42.96</v>
      </c>
      <c r="I479" s="8" t="n">
        <v>-0.009225092250922476</v>
      </c>
    </row>
    <row r="480" ht="23" customHeight="1">
      <c r="A480" s="2" t="str">
        <v>子公司C</v>
      </c>
      <c r="B480" s="2" t="str">
        <v>2026-04</v>
      </c>
      <c r="C480" s="2" t="str">
        <v>净资产收益率</v>
      </c>
      <c r="D480" s="2" t="str">
        <v>%</v>
      </c>
      <c r="E480" s="3" t="n">
        <v>6.36</v>
      </c>
      <c r="F480" s="3" t="n">
        <v>6.79</v>
      </c>
      <c r="G480" s="8" t="n">
        <v>-0.06332842415316638</v>
      </c>
      <c r="H480" s="3" t="n">
        <v>1.77</v>
      </c>
      <c r="I480" s="8" t="n">
        <v>-0.0684210526315789</v>
      </c>
    </row>
    <row r="481" ht="23" customHeight="1">
      <c r="A481" s="2" t="str">
        <v>子公司C</v>
      </c>
      <c r="B481" s="2" t="str">
        <v>2026-04</v>
      </c>
      <c r="C481" s="2" t="str">
        <v>新签收入合同金额</v>
      </c>
      <c r="D481" s="2" t="str">
        <v>万元</v>
      </c>
      <c r="E481" s="7" t="n">
        <v>3305.2</v>
      </c>
      <c r="F481" s="7" t="n">
        <v>2505.78</v>
      </c>
      <c r="G481" s="8" t="n">
        <v>0.3190304017112434</v>
      </c>
      <c r="H481" s="7" t="n">
        <v>833.34</v>
      </c>
      <c r="I481" s="8" t="n">
        <v>-0.28349354289546536</v>
      </c>
    </row>
    <row r="482" ht="23" customHeight="1">
      <c r="A482" s="2" t="str">
        <v>集团公司（合并）</v>
      </c>
      <c r="B482" s="2" t="str">
        <v>2026-05</v>
      </c>
      <c r="C482" s="2" t="str">
        <v>营业总收入</v>
      </c>
      <c r="D482" s="2" t="str">
        <v>万元</v>
      </c>
      <c r="E482" s="7" t="n">
        <v>20710.27</v>
      </c>
      <c r="F482" s="7" t="n">
        <v>19357.99</v>
      </c>
      <c r="G482" s="8" t="n">
        <v>0.06985642620953925</v>
      </c>
      <c r="H482" s="7" t="n">
        <v>4544.32</v>
      </c>
      <c r="I482" s="8" t="n">
        <v>0.03706847958301084</v>
      </c>
    </row>
    <row r="483" ht="23" customHeight="1">
      <c r="A483" s="2" t="str">
        <v>集团公司（合并）</v>
      </c>
      <c r="B483" s="2" t="str">
        <v>2026-05</v>
      </c>
      <c r="C483" s="2" t="str">
        <v>利润总额</v>
      </c>
      <c r="D483" s="2" t="str">
        <v>万元</v>
      </c>
      <c r="E483" s="7" t="n">
        <v>2410.48</v>
      </c>
      <c r="F483" s="7" t="n">
        <v>2376.09</v>
      </c>
      <c r="G483" s="8" t="n">
        <v>0.014473357490667386</v>
      </c>
      <c r="H483" s="7" t="n">
        <v>533.93</v>
      </c>
      <c r="I483" s="8" t="n">
        <v>0.06852248394004273</v>
      </c>
    </row>
    <row r="484" ht="23" customHeight="1">
      <c r="A484" s="2" t="str">
        <v>集团公司（合并）</v>
      </c>
      <c r="B484" s="2" t="str">
        <v>2026-05</v>
      </c>
      <c r="C484" s="2" t="str">
        <v>经营性现金流量净额</v>
      </c>
      <c r="D484" s="2" t="str">
        <v>万元</v>
      </c>
      <c r="E484" s="7" t="n">
        <v>1660.46</v>
      </c>
      <c r="F484" s="7" t="n">
        <v>1645.97</v>
      </c>
      <c r="G484" s="8" t="n">
        <v>0.008803319623079406</v>
      </c>
      <c r="H484" s="7" t="n">
        <v>427.18</v>
      </c>
      <c r="I484" s="8" t="n">
        <v>0.07261587907397182</v>
      </c>
    </row>
    <row r="485" ht="23" customHeight="1">
      <c r="A485" s="2" t="str">
        <v>集团公司（合并）</v>
      </c>
      <c r="B485" s="2" t="str">
        <v>2026-05</v>
      </c>
      <c r="C485" s="2" t="str">
        <v>资产负债率</v>
      </c>
      <c r="D485" s="2" t="str">
        <v>%</v>
      </c>
      <c r="E485" s="3" t="n">
        <v>54.44</v>
      </c>
      <c r="F485" s="3" t="n">
        <v>57.61</v>
      </c>
      <c r="G485" s="8" t="n">
        <v>-0.05502516924145117</v>
      </c>
      <c r="H485" s="3" t="n">
        <v>54.44</v>
      </c>
      <c r="I485" s="8" t="n">
        <v>-0.006388027012228535</v>
      </c>
    </row>
    <row r="486" ht="23" customHeight="1">
      <c r="A486" s="2" t="str">
        <v>集团公司（合并）</v>
      </c>
      <c r="B486" s="2" t="str">
        <v>2026-05</v>
      </c>
      <c r="C486" s="2" t="str">
        <v>净资产收益率</v>
      </c>
      <c r="D486" s="2" t="str">
        <v>%</v>
      </c>
      <c r="E486" s="3" t="n">
        <v>7.11</v>
      </c>
      <c r="F486" s="3" t="n">
        <v>8.2</v>
      </c>
      <c r="G486" s="8" t="n">
        <v>-0.13292682926829258</v>
      </c>
      <c r="H486" s="3" t="n">
        <v>1.53</v>
      </c>
      <c r="I486" s="8" t="n">
        <v>0.0479452054794521</v>
      </c>
    </row>
    <row r="487" ht="23" customHeight="1">
      <c r="A487" s="2" t="str">
        <v>集团公司（合并）</v>
      </c>
      <c r="B487" s="2" t="str">
        <v>2026-05</v>
      </c>
      <c r="C487" s="2" t="str">
        <v>新签收入合同金额</v>
      </c>
      <c r="D487" s="2" t="str">
        <v>万元</v>
      </c>
      <c r="E487" s="7" t="n">
        <v>23707.1</v>
      </c>
      <c r="F487" s="7" t="n">
        <v>22869.22</v>
      </c>
      <c r="G487" s="8" t="n">
        <v>0.036637891454102824</v>
      </c>
      <c r="H487" s="7" t="n">
        <v>5409.54</v>
      </c>
      <c r="I487" s="8" t="n">
        <v>0.08572323143526345</v>
      </c>
    </row>
    <row r="488" ht="23" customHeight="1">
      <c r="A488" s="2" t="str">
        <v>集团公司（本部）</v>
      </c>
      <c r="B488" s="2" t="str">
        <v>2026-05</v>
      </c>
      <c r="C488" s="2" t="str">
        <v>营业总收入</v>
      </c>
      <c r="D488" s="2" t="str">
        <v>万元</v>
      </c>
      <c r="E488" s="7" t="n">
        <v>9098.64</v>
      </c>
      <c r="F488" s="7" t="n">
        <v>8483.23</v>
      </c>
      <c r="G488" s="8" t="n">
        <v>0.07254430211134201</v>
      </c>
      <c r="H488" s="7" t="n">
        <v>1998.66</v>
      </c>
      <c r="I488" s="8" t="n">
        <v>0.024896031505915146</v>
      </c>
    </row>
    <row r="489" ht="23" customHeight="1">
      <c r="A489" s="2" t="str">
        <v>集团公司（本部）</v>
      </c>
      <c r="B489" s="2" t="str">
        <v>2026-05</v>
      </c>
      <c r="C489" s="2" t="str">
        <v>利润总额</v>
      </c>
      <c r="D489" s="2" t="str">
        <v>万元</v>
      </c>
      <c r="E489" s="7" t="n">
        <v>923.36</v>
      </c>
      <c r="F489" s="7" t="n">
        <v>950.89</v>
      </c>
      <c r="G489" s="8" t="n">
        <v>-0.028951824080598147</v>
      </c>
      <c r="H489" s="7" t="n">
        <v>186.37</v>
      </c>
      <c r="I489" s="8" t="n">
        <v>0.011890541861222704</v>
      </c>
    </row>
    <row r="490" ht="23" customHeight="1">
      <c r="A490" s="2" t="str">
        <v>集团公司（本部）</v>
      </c>
      <c r="B490" s="2" t="str">
        <v>2026-05</v>
      </c>
      <c r="C490" s="2" t="str">
        <v>经营性现金流量净额</v>
      </c>
      <c r="D490" s="2" t="str">
        <v>万元</v>
      </c>
      <c r="E490" s="7" t="n">
        <v>563.03</v>
      </c>
      <c r="F490" s="7" t="n">
        <v>596.56</v>
      </c>
      <c r="G490" s="8" t="n">
        <v>-0.05620557865093197</v>
      </c>
      <c r="H490" s="7" t="n">
        <v>131.76</v>
      </c>
      <c r="I490" s="8" t="n">
        <v>0.00841879687739166</v>
      </c>
    </row>
    <row r="491" ht="23" customHeight="1">
      <c r="A491" s="2" t="str">
        <v>集团公司（本部）</v>
      </c>
      <c r="B491" s="2" t="str">
        <v>2026-05</v>
      </c>
      <c r="C491" s="2" t="str">
        <v>资产负债率</v>
      </c>
      <c r="D491" s="2" t="str">
        <v>%</v>
      </c>
      <c r="E491" s="3" t="n">
        <v>54.36</v>
      </c>
      <c r="F491" s="3" t="n">
        <v>56.64</v>
      </c>
      <c r="G491" s="8" t="n">
        <v>-0.04025423728813561</v>
      </c>
      <c r="H491" s="3" t="n">
        <v>54.36</v>
      </c>
      <c r="I491" s="8" t="n">
        <v>-0.004395604395604432</v>
      </c>
    </row>
    <row r="492" ht="23" customHeight="1">
      <c r="A492" s="2" t="str">
        <v>集团公司（本部）</v>
      </c>
      <c r="B492" s="2" t="str">
        <v>2026-05</v>
      </c>
      <c r="C492" s="2" t="str">
        <v>净资产收益率</v>
      </c>
      <c r="D492" s="2" t="str">
        <v>%</v>
      </c>
      <c r="E492" s="3" t="n">
        <v>5.65</v>
      </c>
      <c r="F492" s="3" t="n">
        <v>6.57</v>
      </c>
      <c r="G492" s="8" t="n">
        <v>-0.1400304414003044</v>
      </c>
      <c r="H492" s="3" t="n">
        <v>1.12</v>
      </c>
      <c r="I492" s="8" t="n">
        <v>0.009009009009009016</v>
      </c>
    </row>
    <row r="493" ht="23" customHeight="1">
      <c r="A493" s="2" t="str">
        <v>集团公司（本部）</v>
      </c>
      <c r="B493" s="2" t="str">
        <v>2026-05</v>
      </c>
      <c r="C493" s="2" t="str">
        <v>新签收入合同金额</v>
      </c>
      <c r="D493" s="2" t="str">
        <v>万元</v>
      </c>
      <c r="E493" s="7" t="n">
        <v>9467.72</v>
      </c>
      <c r="F493" s="7" t="n">
        <v>10371.29</v>
      </c>
      <c r="G493" s="8" t="n">
        <v>-0.08712223841007256</v>
      </c>
      <c r="H493" s="7" t="n">
        <v>2236.18</v>
      </c>
      <c r="I493" s="8" t="n">
        <v>0.16611042740034612</v>
      </c>
    </row>
    <row r="494" ht="23" customHeight="1">
      <c r="A494" s="2" t="str">
        <v>子公司A</v>
      </c>
      <c r="B494" s="2" t="str">
        <v>2026-05</v>
      </c>
      <c r="C494" s="2" t="str">
        <v>营业总收入</v>
      </c>
      <c r="D494" s="2" t="str">
        <v>万元</v>
      </c>
      <c r="E494" s="7" t="n">
        <v>5339.42</v>
      </c>
      <c r="F494" s="7" t="n">
        <v>4994.48</v>
      </c>
      <c r="G494" s="8" t="n">
        <v>0.0690642469286093</v>
      </c>
      <c r="H494" s="7" t="n">
        <v>1162.55</v>
      </c>
      <c r="I494" s="8" t="n">
        <v>0.02910584506979904</v>
      </c>
    </row>
    <row r="495" ht="23" customHeight="1">
      <c r="A495" s="2" t="str">
        <v>子公司A</v>
      </c>
      <c r="B495" s="2" t="str">
        <v>2026-05</v>
      </c>
      <c r="C495" s="2" t="str">
        <v>利润总额</v>
      </c>
      <c r="D495" s="2" t="str">
        <v>万元</v>
      </c>
      <c r="E495" s="7" t="n">
        <v>597.35</v>
      </c>
      <c r="F495" s="7" t="n">
        <v>614.64</v>
      </c>
      <c r="G495" s="8" t="n">
        <v>-0.028130287648054086</v>
      </c>
      <c r="H495" s="7" t="n">
        <v>133.35</v>
      </c>
      <c r="I495" s="8" t="n">
        <v>0.0880385117493472</v>
      </c>
    </row>
    <row r="496" ht="23" customHeight="1">
      <c r="A496" s="2" t="str">
        <v>子公司A</v>
      </c>
      <c r="B496" s="2" t="str">
        <v>2026-05</v>
      </c>
      <c r="C496" s="2" t="str">
        <v>经营性现金流量净额</v>
      </c>
      <c r="D496" s="2" t="str">
        <v>万元</v>
      </c>
      <c r="E496" s="7" t="n">
        <v>379.21</v>
      </c>
      <c r="F496" s="7" t="n">
        <v>396.99</v>
      </c>
      <c r="G496" s="8" t="n">
        <v>-0.044787022343132143</v>
      </c>
      <c r="H496" s="7" t="n">
        <v>99.09</v>
      </c>
      <c r="I496" s="8" t="n">
        <v>0.10136712237412476</v>
      </c>
    </row>
    <row r="497" ht="23" customHeight="1">
      <c r="A497" s="2" t="str">
        <v>子公司A</v>
      </c>
      <c r="B497" s="2" t="str">
        <v>2026-05</v>
      </c>
      <c r="C497" s="2" t="str">
        <v>资产负债率</v>
      </c>
      <c r="D497" s="2" t="str">
        <v>%</v>
      </c>
      <c r="E497" s="3" t="n">
        <v>56.79</v>
      </c>
      <c r="F497" s="3" t="n">
        <v>60.09</v>
      </c>
      <c r="G497" s="8" t="n">
        <v>-0.05491762356465309</v>
      </c>
      <c r="H497" s="3" t="n">
        <v>56.79</v>
      </c>
      <c r="I497" s="8" t="n">
        <v>-0.00664684274969394</v>
      </c>
    </row>
    <row r="498" ht="23" customHeight="1">
      <c r="A498" s="2" t="str">
        <v>子公司A</v>
      </c>
      <c r="B498" s="2" t="str">
        <v>2026-05</v>
      </c>
      <c r="C498" s="2" t="str">
        <v>净资产收益率</v>
      </c>
      <c r="D498" s="2" t="str">
        <v>%</v>
      </c>
      <c r="E498" s="3" t="n">
        <v>7.32</v>
      </c>
      <c r="F498" s="3" t="n">
        <v>8.92</v>
      </c>
      <c r="G498" s="8" t="n">
        <v>-0.179372197309417</v>
      </c>
      <c r="H498" s="3" t="n">
        <v>1.59</v>
      </c>
      <c r="I498" s="8" t="n">
        <v>0.0743243243243244</v>
      </c>
    </row>
    <row r="499" ht="23" customHeight="1">
      <c r="A499" s="2" t="str">
        <v>子公司A</v>
      </c>
      <c r="B499" s="2" t="str">
        <v>2026-05</v>
      </c>
      <c r="C499" s="2" t="str">
        <v>新签收入合同金额</v>
      </c>
      <c r="D499" s="2" t="str">
        <v>万元</v>
      </c>
      <c r="E499" s="7" t="n">
        <v>5923.81</v>
      </c>
      <c r="F499" s="7" t="n">
        <v>5815.03</v>
      </c>
      <c r="G499" s="8" t="n">
        <v>0.01870669626811911</v>
      </c>
      <c r="H499" s="7" t="n">
        <v>1446.76</v>
      </c>
      <c r="I499" s="8" t="n">
        <v>0.11160114021405905</v>
      </c>
    </row>
    <row r="500" ht="23" customHeight="1">
      <c r="A500" s="2" t="str">
        <v>子公司B</v>
      </c>
      <c r="B500" s="2" t="str">
        <v>2026-05</v>
      </c>
      <c r="C500" s="2" t="str">
        <v>营业总收入</v>
      </c>
      <c r="D500" s="2" t="str">
        <v>万元</v>
      </c>
      <c r="E500" s="7" t="n">
        <v>4353.88</v>
      </c>
      <c r="F500" s="7" t="n">
        <v>4080.67</v>
      </c>
      <c r="G500" s="8" t="n">
        <v>0.0669522406859658</v>
      </c>
      <c r="H500" s="7" t="n">
        <v>953.14</v>
      </c>
      <c r="I500" s="8" t="n">
        <v>0.04966741553235543</v>
      </c>
    </row>
    <row r="501" ht="23" customHeight="1">
      <c r="A501" s="2" t="str">
        <v>子公司B</v>
      </c>
      <c r="B501" s="2" t="str">
        <v>2026-05</v>
      </c>
      <c r="C501" s="2" t="str">
        <v>利润总额</v>
      </c>
      <c r="D501" s="2" t="str">
        <v>万元</v>
      </c>
      <c r="E501" s="7" t="n">
        <v>560.53</v>
      </c>
      <c r="F501" s="7" t="n">
        <v>531.64</v>
      </c>
      <c r="G501" s="8" t="n">
        <v>0.054341283575351715</v>
      </c>
      <c r="H501" s="7" t="n">
        <v>133.54</v>
      </c>
      <c r="I501" s="8" t="n">
        <v>0.11236984589754265</v>
      </c>
    </row>
    <row r="502" ht="23" customHeight="1">
      <c r="A502" s="2" t="str">
        <v>子公司B</v>
      </c>
      <c r="B502" s="2" t="str">
        <v>2026-05</v>
      </c>
      <c r="C502" s="2" t="str">
        <v>经营性现金流量净额</v>
      </c>
      <c r="D502" s="2" t="str">
        <v>万元</v>
      </c>
      <c r="E502" s="7" t="n">
        <v>371.48</v>
      </c>
      <c r="F502" s="7" t="n">
        <v>351.37</v>
      </c>
      <c r="G502" s="8" t="n">
        <v>0.05723311608845381</v>
      </c>
      <c r="H502" s="7" t="n">
        <v>103.03</v>
      </c>
      <c r="I502" s="8" t="n">
        <v>0.12355507088331513</v>
      </c>
    </row>
    <row r="503" ht="23" customHeight="1">
      <c r="A503" s="2" t="str">
        <v>子公司B</v>
      </c>
      <c r="B503" s="2" t="str">
        <v>2026-05</v>
      </c>
      <c r="C503" s="2" t="str">
        <v>资产负债率</v>
      </c>
      <c r="D503" s="2" t="str">
        <v>%</v>
      </c>
      <c r="E503" s="3" t="n">
        <v>49.4</v>
      </c>
      <c r="F503" s="3" t="n">
        <v>53.03</v>
      </c>
      <c r="G503" s="8" t="n">
        <v>-0.06845181972468418</v>
      </c>
      <c r="H503" s="3" t="n">
        <v>49.4</v>
      </c>
      <c r="I503" s="8" t="n">
        <v>-0.008430349257326409</v>
      </c>
    </row>
    <row r="504" ht="23" customHeight="1">
      <c r="A504" s="2" t="str">
        <v>子公司B</v>
      </c>
      <c r="B504" s="2" t="str">
        <v>2026-05</v>
      </c>
      <c r="C504" s="2" t="str">
        <v>净资产收益率</v>
      </c>
      <c r="D504" s="2" t="str">
        <v>%</v>
      </c>
      <c r="E504" s="3" t="n">
        <v>7.84</v>
      </c>
      <c r="F504" s="3" t="n">
        <v>8.91</v>
      </c>
      <c r="G504" s="8" t="n">
        <v>-0.12008978675645346</v>
      </c>
      <c r="H504" s="3" t="n">
        <v>1.81</v>
      </c>
      <c r="I504" s="8" t="n">
        <v>0.09036144578313261</v>
      </c>
    </row>
    <row r="505" ht="23" customHeight="1">
      <c r="A505" s="2" t="str">
        <v>子公司B</v>
      </c>
      <c r="B505" s="2" t="str">
        <v>2026-05</v>
      </c>
      <c r="C505" s="2" t="str">
        <v>新签收入合同金额</v>
      </c>
      <c r="D505" s="2" t="str">
        <v>万元</v>
      </c>
      <c r="E505" s="7" t="n">
        <v>5206.19</v>
      </c>
      <c r="F505" s="7" t="n">
        <v>4381.94</v>
      </c>
      <c r="G505" s="8" t="n">
        <v>0.18810161709197298</v>
      </c>
      <c r="H505" s="7" t="n">
        <v>1160.02</v>
      </c>
      <c r="I505" s="8" t="n">
        <v>0.01976194243718904</v>
      </c>
    </row>
    <row r="506" ht="23" customHeight="1">
      <c r="A506" s="2" t="str">
        <v>子公司C</v>
      </c>
      <c r="B506" s="2" t="str">
        <v>2026-05</v>
      </c>
      <c r="C506" s="2" t="str">
        <v>营业总收入</v>
      </c>
      <c r="D506" s="2" t="str">
        <v>万元</v>
      </c>
      <c r="E506" s="7" t="n">
        <v>3358.08</v>
      </c>
      <c r="F506" s="7" t="n">
        <v>3145.35</v>
      </c>
      <c r="G506" s="8" t="n">
        <v>0.06763317277886405</v>
      </c>
      <c r="H506" s="7" t="n">
        <v>745.89</v>
      </c>
      <c r="I506" s="8" t="n">
        <v>0.06755499577781265</v>
      </c>
    </row>
    <row r="507" ht="23" customHeight="1">
      <c r="A507" s="2" t="str">
        <v>子公司C</v>
      </c>
      <c r="B507" s="2" t="str">
        <v>2026-05</v>
      </c>
      <c r="C507" s="2" t="str">
        <v>利润总额</v>
      </c>
      <c r="D507" s="2" t="str">
        <v>万元</v>
      </c>
      <c r="E507" s="7" t="n">
        <v>502</v>
      </c>
      <c r="F507" s="7" t="n">
        <v>440.42</v>
      </c>
      <c r="G507" s="8" t="n">
        <v>0.13982107987829795</v>
      </c>
      <c r="H507" s="7" t="n">
        <v>118.58</v>
      </c>
      <c r="I507" s="8" t="n">
        <v>0.08341708542713563</v>
      </c>
    </row>
    <row r="508" ht="23" customHeight="1">
      <c r="A508" s="2" t="str">
        <v>子公司C</v>
      </c>
      <c r="B508" s="2" t="str">
        <v>2026-05</v>
      </c>
      <c r="C508" s="2" t="str">
        <v>经营性现金流量净额</v>
      </c>
      <c r="D508" s="2" t="str">
        <v>万元</v>
      </c>
      <c r="E508" s="7" t="n">
        <v>346.74</v>
      </c>
      <c r="F508" s="7" t="n">
        <v>301.05</v>
      </c>
      <c r="G508" s="8" t="n">
        <v>0.1517688091679123</v>
      </c>
      <c r="H508" s="7" t="n">
        <v>93.3</v>
      </c>
      <c r="I508" s="8" t="n">
        <v>0.08576748516234133</v>
      </c>
    </row>
    <row r="509" ht="23" customHeight="1">
      <c r="A509" s="2" t="str">
        <v>子公司C</v>
      </c>
      <c r="B509" s="2" t="str">
        <v>2026-05</v>
      </c>
      <c r="C509" s="2" t="str">
        <v>资产负债率</v>
      </c>
      <c r="D509" s="2" t="str">
        <v>%</v>
      </c>
      <c r="E509" s="3" t="n">
        <v>42.59</v>
      </c>
      <c r="F509" s="3" t="n">
        <v>46.13</v>
      </c>
      <c r="G509" s="8" t="n">
        <v>-0.07673964881855623</v>
      </c>
      <c r="H509" s="3" t="n">
        <v>42.59</v>
      </c>
      <c r="I509" s="8" t="n">
        <v>-0.008612662942271821</v>
      </c>
    </row>
    <row r="510" ht="23" customHeight="1">
      <c r="A510" s="2" t="str">
        <v>子公司C</v>
      </c>
      <c r="B510" s="2" t="str">
        <v>2026-05</v>
      </c>
      <c r="C510" s="2" t="str">
        <v>净资产收益率</v>
      </c>
      <c r="D510" s="2" t="str">
        <v>%</v>
      </c>
      <c r="E510" s="3" t="n">
        <v>8.24</v>
      </c>
      <c r="F510" s="3" t="n">
        <v>8.68</v>
      </c>
      <c r="G510" s="8" t="n">
        <v>-0.05069124423963128</v>
      </c>
      <c r="H510" s="3" t="n">
        <v>1.89</v>
      </c>
      <c r="I510" s="8" t="n">
        <v>0.06779661016949146</v>
      </c>
    </row>
    <row r="511" ht="23" customHeight="1">
      <c r="A511" s="2" t="str">
        <v>子公司C</v>
      </c>
      <c r="B511" s="2" t="str">
        <v>2026-05</v>
      </c>
      <c r="C511" s="2" t="str">
        <v>新签收入合同金额</v>
      </c>
      <c r="D511" s="2" t="str">
        <v>万元</v>
      </c>
      <c r="E511" s="7" t="n">
        <v>4097.18</v>
      </c>
      <c r="F511" s="7" t="n">
        <v>3253.84</v>
      </c>
      <c r="G511" s="8" t="n">
        <v>0.2591829960907728</v>
      </c>
      <c r="H511" s="7" t="n">
        <v>791.98</v>
      </c>
      <c r="I511" s="8" t="n">
        <v>-0.04963160294717644</v>
      </c>
    </row>
    <row r="512" ht="23" customHeight="1">
      <c r="A512" s="2" t="str">
        <v>集团公司（合并）</v>
      </c>
      <c r="B512" s="2" t="str">
        <v>2026-06</v>
      </c>
      <c r="C512" s="2" t="str">
        <v>营业总收入</v>
      </c>
      <c r="D512" s="2" t="str">
        <v>万元</v>
      </c>
      <c r="E512" s="7" t="n">
        <v>25932</v>
      </c>
      <c r="F512" s="7" t="n">
        <v>24300.55</v>
      </c>
      <c r="G512" s="8" t="n">
        <v>0.06713634053550231</v>
      </c>
      <c r="H512" s="7" t="n">
        <v>5221.73</v>
      </c>
      <c r="I512" s="8" t="n">
        <v>0.1490674072248433</v>
      </c>
    </row>
    <row r="513" ht="23" customHeight="1">
      <c r="A513" s="2" t="str">
        <v>集团公司（合并）</v>
      </c>
      <c r="B513" s="2" t="str">
        <v>2026-06</v>
      </c>
      <c r="C513" s="2" t="str">
        <v>利润总额</v>
      </c>
      <c r="D513" s="2" t="str">
        <v>万元</v>
      </c>
      <c r="E513" s="7" t="n">
        <v>3048.57</v>
      </c>
      <c r="F513" s="7" t="n">
        <v>2939.07</v>
      </c>
      <c r="G513" s="8" t="n">
        <v>0.037256683236534006</v>
      </c>
      <c r="H513" s="7" t="n">
        <v>638.09</v>
      </c>
      <c r="I513" s="8" t="n">
        <v>0.19508175228962615</v>
      </c>
    </row>
    <row r="514" ht="23" customHeight="1">
      <c r="A514" s="2" t="str">
        <v>集团公司（合并）</v>
      </c>
      <c r="B514" s="2" t="str">
        <v>2026-06</v>
      </c>
      <c r="C514" s="2" t="str">
        <v>经营性现金流量净额</v>
      </c>
      <c r="D514" s="2" t="str">
        <v>万元</v>
      </c>
      <c r="E514" s="7" t="n">
        <v>2944.11</v>
      </c>
      <c r="F514" s="7" t="n">
        <v>2824.11</v>
      </c>
      <c r="G514" s="8" t="n">
        <v>0.042491262734100296</v>
      </c>
      <c r="H514" s="7" t="n">
        <v>1283.65</v>
      </c>
      <c r="I514" s="8" t="n">
        <v>2.0049393698206845</v>
      </c>
    </row>
    <row r="515" ht="23" customHeight="1">
      <c r="A515" s="2" t="str">
        <v>集团公司（合并）</v>
      </c>
      <c r="B515" s="2" t="str">
        <v>2026-06</v>
      </c>
      <c r="C515" s="2" t="str">
        <v>资产负债率</v>
      </c>
      <c r="D515" s="2" t="str">
        <v>%</v>
      </c>
      <c r="E515" s="3" t="n">
        <v>54.03</v>
      </c>
      <c r="F515" s="3" t="n">
        <v>57.21</v>
      </c>
      <c r="G515" s="8" t="n">
        <v>-0.05558468799160985</v>
      </c>
      <c r="H515" s="3" t="n">
        <v>54.03</v>
      </c>
      <c r="I515" s="8" t="n">
        <v>-0.007531227038941892</v>
      </c>
    </row>
    <row r="516" ht="23" customHeight="1">
      <c r="A516" s="2" t="str">
        <v>集团公司（合并）</v>
      </c>
      <c r="B516" s="2" t="str">
        <v>2026-06</v>
      </c>
      <c r="C516" s="2" t="str">
        <v>净资产收益率</v>
      </c>
      <c r="D516" s="2" t="str">
        <v>%</v>
      </c>
      <c r="E516" s="3" t="n">
        <v>8.91</v>
      </c>
      <c r="F516" s="3" t="n">
        <v>10.04</v>
      </c>
      <c r="G516" s="8" t="n">
        <v>-0.11254980079681266</v>
      </c>
      <c r="H516" s="3" t="n">
        <v>1.8</v>
      </c>
      <c r="I516" s="8" t="n">
        <v>0.17647058823529413</v>
      </c>
    </row>
    <row r="517" ht="23" customHeight="1">
      <c r="A517" s="2" t="str">
        <v>集团公司（合并）</v>
      </c>
      <c r="B517" s="2" t="str">
        <v>2026-06</v>
      </c>
      <c r="C517" s="2" t="str">
        <v>新签收入合同金额</v>
      </c>
      <c r="D517" s="2" t="str">
        <v>万元</v>
      </c>
      <c r="E517" s="7" t="n">
        <v>31195.32</v>
      </c>
      <c r="F517" s="7" t="n">
        <v>28915.56</v>
      </c>
      <c r="G517" s="8" t="n">
        <v>0.07884197988902855</v>
      </c>
      <c r="H517" s="7" t="n">
        <v>7488.22</v>
      </c>
      <c r="I517" s="8" t="n">
        <v>0.38426187808944945</v>
      </c>
    </row>
    <row r="518" ht="23" customHeight="1">
      <c r="A518" s="2" t="str">
        <v>集团公司（本部）</v>
      </c>
      <c r="B518" s="2" t="str">
        <v>2026-06</v>
      </c>
      <c r="C518" s="2" t="str">
        <v>营业总收入</v>
      </c>
      <c r="D518" s="2" t="str">
        <v>万元</v>
      </c>
      <c r="E518" s="7" t="n">
        <v>11361.6</v>
      </c>
      <c r="F518" s="7" t="n">
        <v>10657.89</v>
      </c>
      <c r="G518" s="8" t="n">
        <v>0.06602714045650696</v>
      </c>
      <c r="H518" s="7" t="n">
        <v>2262.96</v>
      </c>
      <c r="I518" s="8" t="n">
        <v>0.13223859986190745</v>
      </c>
    </row>
    <row r="519" ht="23" customHeight="1">
      <c r="A519" s="2" t="str">
        <v>集团公司（本部）</v>
      </c>
      <c r="B519" s="2" t="str">
        <v>2026-06</v>
      </c>
      <c r="C519" s="2" t="str">
        <v>利润总额</v>
      </c>
      <c r="D519" s="2" t="str">
        <v>万元</v>
      </c>
      <c r="E519" s="7" t="n">
        <v>1144.18</v>
      </c>
      <c r="F519" s="7" t="n">
        <v>1170.08</v>
      </c>
      <c r="G519" s="8" t="n">
        <v>-0.022135238616162883</v>
      </c>
      <c r="H519" s="7" t="n">
        <v>220.82</v>
      </c>
      <c r="I519" s="8" t="n">
        <v>0.18484734667596708</v>
      </c>
    </row>
    <row r="520" ht="23" customHeight="1">
      <c r="A520" s="2" t="str">
        <v>集团公司（本部）</v>
      </c>
      <c r="B520" s="2" t="str">
        <v>2026-06</v>
      </c>
      <c r="C520" s="2" t="str">
        <v>经营性现金流量净额</v>
      </c>
      <c r="D520" s="2" t="str">
        <v>万元</v>
      </c>
      <c r="E520" s="7" t="n">
        <v>1033.32</v>
      </c>
      <c r="F520" s="7" t="n">
        <v>1054.79</v>
      </c>
      <c r="G520" s="8" t="n">
        <v>-0.020354762559372033</v>
      </c>
      <c r="H520" s="7" t="n">
        <v>470.29</v>
      </c>
      <c r="I520" s="8" t="n">
        <v>2.569292653309047</v>
      </c>
    </row>
    <row r="521" ht="23" customHeight="1">
      <c r="A521" s="2" t="str">
        <v>集团公司（本部）</v>
      </c>
      <c r="B521" s="2" t="str">
        <v>2026-06</v>
      </c>
      <c r="C521" s="2" t="str">
        <v>资产负债率</v>
      </c>
      <c r="D521" s="2" t="str">
        <v>%</v>
      </c>
      <c r="E521" s="3" t="n">
        <v>54.05</v>
      </c>
      <c r="F521" s="3" t="n">
        <v>56.3</v>
      </c>
      <c r="G521" s="8" t="n">
        <v>-0.03996447602131439</v>
      </c>
      <c r="H521" s="3" t="n">
        <v>54.05</v>
      </c>
      <c r="I521" s="8" t="n">
        <v>-0.0057027225901398505</v>
      </c>
    </row>
    <row r="522" ht="23" customHeight="1">
      <c r="A522" s="2" t="str">
        <v>集团公司（本部）</v>
      </c>
      <c r="B522" s="2" t="str">
        <v>2026-06</v>
      </c>
      <c r="C522" s="2" t="str">
        <v>净资产收益率</v>
      </c>
      <c r="D522" s="2" t="str">
        <v>%</v>
      </c>
      <c r="E522" s="3" t="n">
        <v>6.96</v>
      </c>
      <c r="F522" s="3" t="n">
        <v>8.02</v>
      </c>
      <c r="G522" s="8" t="n">
        <v>-0.13216957605985033</v>
      </c>
      <c r="H522" s="3" t="n">
        <v>1.31</v>
      </c>
      <c r="I522" s="8" t="n">
        <v>0.16964285714285707</v>
      </c>
    </row>
    <row r="523" ht="23" customHeight="1">
      <c r="A523" s="2" t="str">
        <v>集团公司（本部）</v>
      </c>
      <c r="B523" s="2" t="str">
        <v>2026-06</v>
      </c>
      <c r="C523" s="2" t="str">
        <v>新签收入合同金额</v>
      </c>
      <c r="D523" s="2" t="str">
        <v>万元</v>
      </c>
      <c r="E523" s="7" t="n">
        <v>12818</v>
      </c>
      <c r="F523" s="7" t="n">
        <v>12844.43</v>
      </c>
      <c r="G523" s="8" t="n">
        <v>-0.0020577012759616653</v>
      </c>
      <c r="H523" s="7" t="n">
        <v>3350.28</v>
      </c>
      <c r="I523" s="8" t="n">
        <v>0.49821570714343233</v>
      </c>
    </row>
    <row r="524" ht="23" customHeight="1">
      <c r="A524" s="2" t="str">
        <v>子公司A</v>
      </c>
      <c r="B524" s="2" t="str">
        <v>2026-06</v>
      </c>
      <c r="C524" s="2" t="str">
        <v>营业总收入</v>
      </c>
      <c r="D524" s="2" t="str">
        <v>万元</v>
      </c>
      <c r="E524" s="7" t="n">
        <v>6683.89</v>
      </c>
      <c r="F524" s="7" t="n">
        <v>6280.03</v>
      </c>
      <c r="G524" s="8" t="n">
        <v>0.0643086099907167</v>
      </c>
      <c r="H524" s="7" t="n">
        <v>1344.47</v>
      </c>
      <c r="I524" s="8" t="n">
        <v>0.1564835921035655</v>
      </c>
    </row>
    <row r="525" ht="23" customHeight="1">
      <c r="A525" s="2" t="str">
        <v>子公司A</v>
      </c>
      <c r="B525" s="2" t="str">
        <v>2026-06</v>
      </c>
      <c r="C525" s="2" t="str">
        <v>利润总额</v>
      </c>
      <c r="D525" s="2" t="str">
        <v>万元</v>
      </c>
      <c r="E525" s="7" t="n">
        <v>762.63</v>
      </c>
      <c r="F525" s="7" t="n">
        <v>752.54</v>
      </c>
      <c r="G525" s="8" t="n">
        <v>0.013407925160124422</v>
      </c>
      <c r="H525" s="7" t="n">
        <v>165.28</v>
      </c>
      <c r="I525" s="8" t="n">
        <v>0.23944506936632928</v>
      </c>
    </row>
    <row r="526" ht="23" customHeight="1">
      <c r="A526" s="2" t="str">
        <v>子公司A</v>
      </c>
      <c r="B526" s="2" t="str">
        <v>2026-06</v>
      </c>
      <c r="C526" s="2" t="str">
        <v>经营性现金流量净额</v>
      </c>
      <c r="D526" s="2" t="str">
        <v>万元</v>
      </c>
      <c r="E526" s="7" t="n">
        <v>689.3</v>
      </c>
      <c r="F526" s="7" t="n">
        <v>675.37</v>
      </c>
      <c r="G526" s="8" t="n">
        <v>0.020625731080740853</v>
      </c>
      <c r="H526" s="7" t="n">
        <v>310.09</v>
      </c>
      <c r="I526" s="8" t="n">
        <v>2.1293773337370063</v>
      </c>
    </row>
    <row r="527" ht="23" customHeight="1">
      <c r="A527" s="2" t="str">
        <v>子公司A</v>
      </c>
      <c r="B527" s="2" t="str">
        <v>2026-06</v>
      </c>
      <c r="C527" s="2" t="str">
        <v>资产负债率</v>
      </c>
      <c r="D527" s="2" t="str">
        <v>%</v>
      </c>
      <c r="E527" s="3" t="n">
        <v>56.35</v>
      </c>
      <c r="F527" s="3" t="n">
        <v>59.68</v>
      </c>
      <c r="G527" s="8" t="n">
        <v>-0.05579758713136727</v>
      </c>
      <c r="H527" s="3" t="n">
        <v>56.35</v>
      </c>
      <c r="I527" s="8" t="n">
        <v>-0.007747842930093287</v>
      </c>
    </row>
    <row r="528" ht="23" customHeight="1">
      <c r="A528" s="2" t="str">
        <v>子公司A</v>
      </c>
      <c r="B528" s="2" t="str">
        <v>2026-06</v>
      </c>
      <c r="C528" s="2" t="str">
        <v>净资产收益率</v>
      </c>
      <c r="D528" s="2" t="str">
        <v>%</v>
      </c>
      <c r="E528" s="3" t="n">
        <v>9.25</v>
      </c>
      <c r="F528" s="3" t="n">
        <v>10.81</v>
      </c>
      <c r="G528" s="8" t="n">
        <v>-0.1443108233117484</v>
      </c>
      <c r="H528" s="3" t="n">
        <v>1.93</v>
      </c>
      <c r="I528" s="8" t="n">
        <v>0.21383647798742128</v>
      </c>
    </row>
    <row r="529" ht="23" customHeight="1">
      <c r="A529" s="2" t="str">
        <v>子公司A</v>
      </c>
      <c r="B529" s="2" t="str">
        <v>2026-06</v>
      </c>
      <c r="C529" s="2" t="str">
        <v>新签收入合同金额</v>
      </c>
      <c r="D529" s="2" t="str">
        <v>万元</v>
      </c>
      <c r="E529" s="7" t="n">
        <v>7924.45</v>
      </c>
      <c r="F529" s="7" t="n">
        <v>7221.84</v>
      </c>
      <c r="G529" s="8" t="n">
        <v>0.09728961040399672</v>
      </c>
      <c r="H529" s="7" t="n">
        <v>2000.64</v>
      </c>
      <c r="I529" s="8" t="n">
        <v>0.3828416599850702</v>
      </c>
    </row>
    <row r="530" ht="23" customHeight="1">
      <c r="A530" s="2" t="str">
        <v>子公司B</v>
      </c>
      <c r="B530" s="2" t="str">
        <v>2026-06</v>
      </c>
      <c r="C530" s="2" t="str">
        <v>营业总收入</v>
      </c>
      <c r="D530" s="2" t="str">
        <v>万元</v>
      </c>
      <c r="E530" s="7" t="n">
        <v>5467.82</v>
      </c>
      <c r="F530" s="7" t="n">
        <v>5119.25</v>
      </c>
      <c r="G530" s="8" t="n">
        <v>0.06809005225374805</v>
      </c>
      <c r="H530" s="7" t="n">
        <v>1113.94</v>
      </c>
      <c r="I530" s="8" t="n">
        <v>0.1687055416832785</v>
      </c>
    </row>
    <row r="531" ht="23" customHeight="1">
      <c r="A531" s="2" t="str">
        <v>子公司B</v>
      </c>
      <c r="B531" s="2" t="str">
        <v>2026-06</v>
      </c>
      <c r="C531" s="2" t="str">
        <v>利润总额</v>
      </c>
      <c r="D531" s="2" t="str">
        <v>万元</v>
      </c>
      <c r="E531" s="7" t="n">
        <v>721.68</v>
      </c>
      <c r="F531" s="7" t="n">
        <v>660.98</v>
      </c>
      <c r="G531" s="8" t="n">
        <v>0.09183333837635016</v>
      </c>
      <c r="H531" s="7" t="n">
        <v>161.15</v>
      </c>
      <c r="I531" s="8" t="n">
        <v>0.20675453047775957</v>
      </c>
    </row>
    <row r="532" ht="23" customHeight="1">
      <c r="A532" s="2" t="str">
        <v>子公司B</v>
      </c>
      <c r="B532" s="2" t="str">
        <v>2026-06</v>
      </c>
      <c r="C532" s="2" t="str">
        <v>经营性现金流量净额</v>
      </c>
      <c r="D532" s="2" t="str">
        <v>万元</v>
      </c>
      <c r="E532" s="7" t="n">
        <v>650.19</v>
      </c>
      <c r="F532" s="7" t="n">
        <v>592.41</v>
      </c>
      <c r="G532" s="8" t="n">
        <v>0.09753380260292718</v>
      </c>
      <c r="H532" s="7" t="n">
        <v>278.71</v>
      </c>
      <c r="I532" s="8" t="n">
        <v>1.7051344268659612</v>
      </c>
    </row>
    <row r="533" ht="23" customHeight="1">
      <c r="A533" s="2" t="str">
        <v>子公司B</v>
      </c>
      <c r="B533" s="2" t="str">
        <v>2026-06</v>
      </c>
      <c r="C533" s="2" t="str">
        <v>资产负债率</v>
      </c>
      <c r="D533" s="2" t="str">
        <v>%</v>
      </c>
      <c r="E533" s="3" t="n">
        <v>48.95</v>
      </c>
      <c r="F533" s="3" t="n">
        <v>52.62</v>
      </c>
      <c r="G533" s="8" t="n">
        <v>-0.06974534397567454</v>
      </c>
      <c r="H533" s="3" t="n">
        <v>48.95</v>
      </c>
      <c r="I533" s="8" t="n">
        <v>-0.009109311740890602</v>
      </c>
    </row>
    <row r="534" ht="23" customHeight="1">
      <c r="A534" s="2" t="str">
        <v>子公司B</v>
      </c>
      <c r="B534" s="2" t="str">
        <v>2026-06</v>
      </c>
      <c r="C534" s="2" t="str">
        <v>净资产收益率</v>
      </c>
      <c r="D534" s="2" t="str">
        <v>%</v>
      </c>
      <c r="E534" s="3" t="n">
        <v>9.98</v>
      </c>
      <c r="F534" s="3" t="n">
        <v>10.96</v>
      </c>
      <c r="G534" s="8" t="n">
        <v>-0.08941605839416061</v>
      </c>
      <c r="H534" s="3" t="n">
        <v>2.14</v>
      </c>
      <c r="I534" s="8" t="n">
        <v>0.1823204419889503</v>
      </c>
    </row>
    <row r="535" ht="23" customHeight="1">
      <c r="A535" s="2" t="str">
        <v>子公司B</v>
      </c>
      <c r="B535" s="2" t="str">
        <v>2026-06</v>
      </c>
      <c r="C535" s="2" t="str">
        <v>新签收入合同金额</v>
      </c>
      <c r="D535" s="2" t="str">
        <v>万元</v>
      </c>
      <c r="E535" s="7" t="n">
        <v>6677.58</v>
      </c>
      <c r="F535" s="7" t="n">
        <v>5668.38</v>
      </c>
      <c r="G535" s="8" t="n">
        <v>0.17804028664274446</v>
      </c>
      <c r="H535" s="7" t="n">
        <v>1471.39</v>
      </c>
      <c r="I535" s="8" t="n">
        <v>0.26841778590024323</v>
      </c>
    </row>
    <row r="536" ht="23" customHeight="1">
      <c r="A536" s="2" t="str">
        <v>子公司C</v>
      </c>
      <c r="B536" s="2" t="str">
        <v>2026-06</v>
      </c>
      <c r="C536" s="2" t="str">
        <v>营业总收入</v>
      </c>
      <c r="D536" s="2" t="str">
        <v>万元</v>
      </c>
      <c r="E536" s="7" t="n">
        <v>4221.45</v>
      </c>
      <c r="F536" s="7" t="n">
        <v>3932.72</v>
      </c>
      <c r="G536" s="8" t="n">
        <v>0.07341738033727294</v>
      </c>
      <c r="H536" s="7" t="n">
        <v>863.37</v>
      </c>
      <c r="I536" s="8" t="n">
        <v>0.15750311708160725</v>
      </c>
    </row>
    <row r="537" ht="23" customHeight="1">
      <c r="A537" s="2" t="str">
        <v>子公司C</v>
      </c>
      <c r="B537" s="2" t="str">
        <v>2026-06</v>
      </c>
      <c r="C537" s="2" t="str">
        <v>利润总额</v>
      </c>
      <c r="D537" s="2" t="str">
        <v>万元</v>
      </c>
      <c r="E537" s="7" t="n">
        <v>636.4</v>
      </c>
      <c r="F537" s="7" t="n">
        <v>558.2</v>
      </c>
      <c r="G537" s="8" t="n">
        <v>0.14009315657470428</v>
      </c>
      <c r="H537" s="7" t="n">
        <v>134.4</v>
      </c>
      <c r="I537" s="8" t="n">
        <v>0.13341204250295166</v>
      </c>
    </row>
    <row r="538" ht="23" customHeight="1">
      <c r="A538" s="2" t="str">
        <v>子公司C</v>
      </c>
      <c r="B538" s="2" t="str">
        <v>2026-06</v>
      </c>
      <c r="C538" s="2" t="str">
        <v>经营性现金流量净额</v>
      </c>
      <c r="D538" s="2" t="str">
        <v>万元</v>
      </c>
      <c r="E538" s="7" t="n">
        <v>571.3</v>
      </c>
      <c r="F538" s="7" t="n">
        <v>501.54</v>
      </c>
      <c r="G538" s="8" t="n">
        <v>0.13909159787853398</v>
      </c>
      <c r="H538" s="7" t="n">
        <v>224.56</v>
      </c>
      <c r="I538" s="8" t="n">
        <v>1.4068595927116827</v>
      </c>
    </row>
    <row r="539" ht="23" customHeight="1">
      <c r="A539" s="2" t="str">
        <v>子公司C</v>
      </c>
      <c r="B539" s="2" t="str">
        <v>2026-06</v>
      </c>
      <c r="C539" s="2" t="str">
        <v>资产负债率</v>
      </c>
      <c r="D539" s="2" t="str">
        <v>%</v>
      </c>
      <c r="E539" s="3" t="n">
        <v>42.22</v>
      </c>
      <c r="F539" s="3" t="n">
        <v>45.73</v>
      </c>
      <c r="G539" s="8" t="n">
        <v>-0.07675486551497919</v>
      </c>
      <c r="H539" s="3" t="n">
        <v>42.22</v>
      </c>
      <c r="I539" s="8" t="n">
        <v>-0.008687485325193813</v>
      </c>
    </row>
    <row r="540" ht="23" customHeight="1">
      <c r="A540" s="2" t="str">
        <v>子公司C</v>
      </c>
      <c r="B540" s="2" t="str">
        <v>2026-06</v>
      </c>
      <c r="C540" s="2" t="str">
        <v>净资产收益率</v>
      </c>
      <c r="D540" s="2" t="str">
        <v>%</v>
      </c>
      <c r="E540" s="3" t="n">
        <v>10.33</v>
      </c>
      <c r="F540" s="3" t="n">
        <v>10.88</v>
      </c>
      <c r="G540" s="8" t="n">
        <v>-0.05055147058823536</v>
      </c>
      <c r="H540" s="3" t="n">
        <v>2.1</v>
      </c>
      <c r="I540" s="8" t="n">
        <v>0.11111111111111122</v>
      </c>
    </row>
    <row r="541" ht="23" customHeight="1">
      <c r="A541" s="2" t="str">
        <v>子公司C</v>
      </c>
      <c r="B541" s="2" t="str">
        <v>2026-06</v>
      </c>
      <c r="C541" s="2" t="str">
        <v>新签收入合同金额</v>
      </c>
      <c r="D541" s="2" t="str">
        <v>万元</v>
      </c>
      <c r="E541" s="7" t="n">
        <v>5075.1</v>
      </c>
      <c r="F541" s="7" t="n">
        <v>4385.72</v>
      </c>
      <c r="G541" s="8" t="n">
        <v>0.15718741734538458</v>
      </c>
      <c r="H541" s="7" t="n">
        <v>977.92</v>
      </c>
      <c r="I541" s="8" t="n">
        <v>0.23477865602666725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23" hidden="0" customWidth="1"/>
    <col min="2" max="2" width="12" hidden="0" customWidth="1"/>
    <col min="3" max="3" width="20" hidden="0" customWidth="1"/>
    <col min="4" max="4" width="20" hidden="0" customWidth="1"/>
    <col min="5" max="5" width="20" hidden="0" customWidth="1"/>
    <col min="6" max="6" width="20" hidden="0" customWidth="1"/>
    <col min="7" max="7" width="20" hidden="0" customWidth="1"/>
    <col min="8" max="8" width="20" hidden="0" customWidth="1"/>
    <col min="9" max="9" width="20" hidden="0" customWidth="1"/>
    <col min="10" max="10" width="20" hidden="0" customWidth="1"/>
    <col min="11" max="11" width="20" hidden="0" customWidth="1"/>
    <col min="12" max="12" width="20" hidden="0" customWidth="1"/>
    <col min="13" max="13" width="20" hidden="0" customWidth="1"/>
    <col min="14" max="14" width="20" hidden="0" customWidth="1"/>
    <col min="15" max="15" width="20" hidden="0" customWidth="1"/>
    <col min="16" max="16" width="20" hidden="0" customWidth="1"/>
  </cols>
  <sheetData>
    <row r="1" ht="42" customHeight="1">
      <c r="A1" s="6" t="str">
        <v>公司主体</v>
      </c>
      <c r="B1" s="6" t="str">
        <v>期数</v>
      </c>
      <c r="C1" s="6" t="str">
        <v>期初总资产(万元)</v>
      </c>
      <c r="D1" s="6" t="str">
        <v>期末总资产(万元)</v>
      </c>
      <c r="E1" s="6" t="str">
        <v>期末负债(万元)</v>
      </c>
      <c r="F1" s="6" t="str">
        <v>期初净资产(万元)</v>
      </c>
      <c r="G1" s="6" t="str">
        <v>期末净资产(万元)</v>
      </c>
      <c r="H1" s="6" t="str">
        <v>年初净资产(万元)</v>
      </c>
      <c r="I1" s="6" t="str">
        <v>本月净利润(万元)</v>
      </c>
      <c r="J1" s="6" t="str">
        <v>本年净利润(万元)</v>
      </c>
      <c r="K1" s="6" t="str">
        <v>本月分红(万元)</v>
      </c>
      <c r="L1" s="6" t="str">
        <v>资产负债率</v>
      </c>
      <c r="M1" s="6" t="str">
        <v>累计净资产收益率</v>
      </c>
      <c r="N1" s="6" t="str">
        <v>本月净资产收益率</v>
      </c>
      <c r="O1" s="6" t="str">
        <v>资产负债差额(万元)</v>
      </c>
      <c r="P1" s="6" t="str">
        <v>权益滚动差额(万元)</v>
      </c>
    </row>
    <row r="2" ht="23" customHeight="1">
      <c r="A2" s="2" t="str">
        <v>集团公司（合并）</v>
      </c>
      <c r="B2" s="2" t="str">
        <v>202501</v>
      </c>
      <c r="C2" s="7" t="n">
        <v>51400</v>
      </c>
      <c r="D2" s="7" t="n">
        <v>51783.24</v>
      </c>
      <c r="E2" s="7" t="n">
        <v>30613.21</v>
      </c>
      <c r="F2" s="7" t="n">
        <v>20855</v>
      </c>
      <c r="G2" s="7" t="n">
        <v>21170.03</v>
      </c>
      <c r="H2" s="7" t="n">
        <v>20855</v>
      </c>
      <c r="I2" s="7" t="n">
        <v>315.03</v>
      </c>
      <c r="J2" s="7" t="n">
        <v>315.03</v>
      </c>
      <c r="K2" s="7" t="n">
        <v>0</v>
      </c>
      <c r="L2" s="3" t="n">
        <f>ROUND(E2/D2*100,2)</f>
        <v>59.12</v>
      </c>
      <c r="M2" s="3" t="n">
        <f>ROUND(J2/AVERAGE(H2,G2)*100,2)</f>
        <v>1.5</v>
      </c>
      <c r="N2" s="3" t="n">
        <f>ROUND(I2/AVERAGE(F2,G2)*100,2)</f>
        <v>1.5</v>
      </c>
      <c r="O2" s="7" t="n">
        <f>ROUND(D2-E2-G2,2)</f>
        <v>0</v>
      </c>
      <c r="P2" s="7" t="n">
        <f>ROUND(G2-F2-I2+K2,2)</f>
        <v>0</v>
      </c>
    </row>
    <row r="3" ht="23" customHeight="1">
      <c r="A3" s="2" t="str">
        <v>集团公司（本部）</v>
      </c>
      <c r="B3" s="2" t="str">
        <v>202501</v>
      </c>
      <c r="C3" s="7" t="n">
        <v>25000</v>
      </c>
      <c r="D3" s="7" t="n">
        <v>25136.69</v>
      </c>
      <c r="E3" s="7" t="n">
        <v>14521.87</v>
      </c>
      <c r="F3" s="7" t="n">
        <v>10500</v>
      </c>
      <c r="G3" s="7" t="n">
        <v>10614.82</v>
      </c>
      <c r="H3" s="7" t="n">
        <v>10500</v>
      </c>
      <c r="I3" s="7" t="n">
        <v>114.82</v>
      </c>
      <c r="J3" s="7" t="n">
        <v>114.82</v>
      </c>
      <c r="K3" s="7" t="n">
        <v>0</v>
      </c>
      <c r="L3" s="3" t="n">
        <f>ROUND(E3/D3*100,2)</f>
        <v>57.77</v>
      </c>
      <c r="M3" s="3" t="n">
        <f>ROUND(J3/AVERAGE(H3,G3)*100,2)</f>
        <v>1.09</v>
      </c>
      <c r="N3" s="3" t="n">
        <f>ROUND(I3/AVERAGE(F3,G3)*100,2)</f>
        <v>1.09</v>
      </c>
      <c r="O3" s="7" t="n">
        <f>ROUND(D3-E3-G3,2)</f>
        <v>0</v>
      </c>
      <c r="P3" s="7" t="n">
        <f>ROUND(G3-F3-I3+K3,2)</f>
        <v>0</v>
      </c>
    </row>
    <row r="4" ht="23" customHeight="1">
      <c r="A4" s="2" t="str">
        <v>子公司A</v>
      </c>
      <c r="B4" s="2" t="str">
        <v>202501</v>
      </c>
      <c r="C4" s="7" t="n">
        <v>13000</v>
      </c>
      <c r="D4" s="7" t="n">
        <v>13104.56</v>
      </c>
      <c r="E4" s="7" t="n">
        <v>8080.36</v>
      </c>
      <c r="F4" s="7" t="n">
        <v>4940</v>
      </c>
      <c r="G4" s="7" t="n">
        <v>5024.2</v>
      </c>
      <c r="H4" s="7" t="n">
        <v>4940</v>
      </c>
      <c r="I4" s="7" t="n">
        <v>84.2</v>
      </c>
      <c r="J4" s="7" t="n">
        <v>84.2</v>
      </c>
      <c r="K4" s="7" t="n">
        <v>0</v>
      </c>
      <c r="L4" s="3" t="n">
        <f>ROUND(E4/D4*100,2)</f>
        <v>61.66</v>
      </c>
      <c r="M4" s="3" t="n">
        <f>ROUND(J4/AVERAGE(H4,G4)*100,2)</f>
        <v>1.69</v>
      </c>
      <c r="N4" s="3" t="n">
        <f>ROUND(I4/AVERAGE(F4,G4)*100,2)</f>
        <v>1.69</v>
      </c>
      <c r="O4" s="7" t="n">
        <f>ROUND(D4-E4-G4,2)</f>
        <v>0</v>
      </c>
      <c r="P4" s="7" t="n">
        <f>ROUND(G4-F4-I4+K4,2)</f>
        <v>0</v>
      </c>
    </row>
    <row r="5" ht="23" customHeight="1">
      <c r="A5" s="2" t="str">
        <v>子公司B</v>
      </c>
      <c r="B5" s="2" t="str">
        <v>202501</v>
      </c>
      <c r="C5" s="7" t="n">
        <v>9500</v>
      </c>
      <c r="D5" s="7" t="n">
        <v>9593.78</v>
      </c>
      <c r="E5" s="7" t="n">
        <v>5242.11</v>
      </c>
      <c r="F5" s="7" t="n">
        <v>4275</v>
      </c>
      <c r="G5" s="7" t="n">
        <v>4351.67</v>
      </c>
      <c r="H5" s="7" t="n">
        <v>4275</v>
      </c>
      <c r="I5" s="7" t="n">
        <v>76.67</v>
      </c>
      <c r="J5" s="7" t="n">
        <v>76.67</v>
      </c>
      <c r="K5" s="7" t="n">
        <v>0</v>
      </c>
      <c r="L5" s="3" t="n">
        <f>ROUND(E5/D5*100,2)</f>
        <v>54.64</v>
      </c>
      <c r="M5" s="3" t="n">
        <f>ROUND(J5/AVERAGE(H5,G5)*100,2)</f>
        <v>1.78</v>
      </c>
      <c r="N5" s="3" t="n">
        <f>ROUND(I5/AVERAGE(F5,G5)*100,2)</f>
        <v>1.78</v>
      </c>
      <c r="O5" s="7" t="n">
        <f>ROUND(D5-E5-G5,2)</f>
        <v>0</v>
      </c>
      <c r="P5" s="7" t="n">
        <f>ROUND(G5-F5-I5+K5,2)</f>
        <v>0</v>
      </c>
    </row>
    <row r="6" ht="23" customHeight="1">
      <c r="A6" s="2" t="str">
        <v>子公司C</v>
      </c>
      <c r="B6" s="2" t="str">
        <v>202501</v>
      </c>
      <c r="C6" s="7" t="n">
        <v>7000</v>
      </c>
      <c r="D6" s="7" t="n">
        <v>7069.14</v>
      </c>
      <c r="E6" s="7" t="n">
        <v>3368.87</v>
      </c>
      <c r="F6" s="7" t="n">
        <v>3640</v>
      </c>
      <c r="G6" s="7" t="n">
        <v>3700.27</v>
      </c>
      <c r="H6" s="7" t="n">
        <v>3640</v>
      </c>
      <c r="I6" s="7" t="n">
        <v>60.27</v>
      </c>
      <c r="J6" s="7" t="n">
        <v>60.27</v>
      </c>
      <c r="K6" s="7" t="n">
        <v>0</v>
      </c>
      <c r="L6" s="3" t="n">
        <f>ROUND(E6/D6*100,2)</f>
        <v>47.66</v>
      </c>
      <c r="M6" s="3" t="n">
        <f>ROUND(J6/AVERAGE(H6,G6)*100,2)</f>
        <v>1.64</v>
      </c>
      <c r="N6" s="3" t="n">
        <f>ROUND(I6/AVERAGE(F6,G6)*100,2)</f>
        <v>1.64</v>
      </c>
      <c r="O6" s="7" t="n">
        <f>ROUND(D6-E6-G6,2)</f>
        <v>0</v>
      </c>
      <c r="P6" s="7" t="n">
        <f>ROUND(G6-F6-I6+K6,2)</f>
        <v>0</v>
      </c>
    </row>
    <row r="7" ht="23" customHeight="1">
      <c r="A7" s="2" t="str">
        <v>集团公司（合并）</v>
      </c>
      <c r="B7" s="2" t="str">
        <v>202502</v>
      </c>
      <c r="C7" s="7" t="n">
        <v>51783.24</v>
      </c>
      <c r="D7" s="7" t="n">
        <v>52128.31</v>
      </c>
      <c r="E7" s="7" t="n">
        <v>30654.53</v>
      </c>
      <c r="F7" s="7" t="n">
        <v>21170.03</v>
      </c>
      <c r="G7" s="7" t="n">
        <v>21473.78</v>
      </c>
      <c r="H7" s="7" t="n">
        <v>20855</v>
      </c>
      <c r="I7" s="7" t="n">
        <v>303.75</v>
      </c>
      <c r="J7" s="7" t="n">
        <v>618.78</v>
      </c>
      <c r="K7" s="7" t="n">
        <v>0</v>
      </c>
      <c r="L7" s="3" t="n">
        <f>ROUND(E7/D7*100,2)</f>
        <v>58.81</v>
      </c>
      <c r="M7" s="3" t="n">
        <f>ROUND(J7/AVERAGE(H7,G7)*100,2)</f>
        <v>2.92</v>
      </c>
      <c r="N7" s="3" t="n">
        <f>ROUND(I7/AVERAGE(F7,G7)*100,2)</f>
        <v>1.42</v>
      </c>
      <c r="O7" s="7" t="n">
        <f>ROUND(D7-E7-G7,2)</f>
        <v>0</v>
      </c>
      <c r="P7" s="7" t="n">
        <f>ROUND(G7-F7-I7+K7,2)</f>
        <v>0</v>
      </c>
    </row>
    <row r="8" ht="23" customHeight="1">
      <c r="A8" s="2" t="str">
        <v>集团公司（本部）</v>
      </c>
      <c r="B8" s="2" t="str">
        <v>202502</v>
      </c>
      <c r="C8" s="7" t="n">
        <v>25136.69</v>
      </c>
      <c r="D8" s="7" t="n">
        <v>25289.74</v>
      </c>
      <c r="E8" s="7" t="n">
        <v>14555.06</v>
      </c>
      <c r="F8" s="7" t="n">
        <v>10614.82</v>
      </c>
      <c r="G8" s="7" t="n">
        <v>10734.68</v>
      </c>
      <c r="H8" s="7" t="n">
        <v>10500</v>
      </c>
      <c r="I8" s="7" t="n">
        <v>119.86</v>
      </c>
      <c r="J8" s="7" t="n">
        <v>234.68</v>
      </c>
      <c r="K8" s="7" t="n">
        <v>0</v>
      </c>
      <c r="L8" s="3" t="n">
        <f>ROUND(E8/D8*100,2)</f>
        <v>57.55</v>
      </c>
      <c r="M8" s="3" t="n">
        <f>ROUND(J8/AVERAGE(H8,G8)*100,2)</f>
        <v>2.21</v>
      </c>
      <c r="N8" s="3" t="n">
        <f>ROUND(I8/AVERAGE(F8,G8)*100,2)</f>
        <v>1.12</v>
      </c>
      <c r="O8" s="7" t="n">
        <f>ROUND(D8-E8-G8,2)</f>
        <v>0</v>
      </c>
      <c r="P8" s="7" t="n">
        <f>ROUND(G8-F8-I8+K8,2)</f>
        <v>0</v>
      </c>
    </row>
    <row r="9" ht="23" customHeight="1">
      <c r="A9" s="2" t="str">
        <v>子公司A</v>
      </c>
      <c r="B9" s="2" t="str">
        <v>202502</v>
      </c>
      <c r="C9" s="7" t="n">
        <v>13104.56</v>
      </c>
      <c r="D9" s="7" t="n">
        <v>13205.95</v>
      </c>
      <c r="E9" s="7" t="n">
        <v>8100.34</v>
      </c>
      <c r="F9" s="7" t="n">
        <v>5024.2</v>
      </c>
      <c r="G9" s="7" t="n">
        <v>5105.61</v>
      </c>
      <c r="H9" s="7" t="n">
        <v>4940</v>
      </c>
      <c r="I9" s="7" t="n">
        <v>81.41</v>
      </c>
      <c r="J9" s="7" t="n">
        <v>165.61</v>
      </c>
      <c r="K9" s="7" t="n">
        <v>0</v>
      </c>
      <c r="L9" s="3" t="n">
        <f>ROUND(E9/D9*100,2)</f>
        <v>61.34</v>
      </c>
      <c r="M9" s="3" t="n">
        <f>ROUND(J9/AVERAGE(H9,G9)*100,2)</f>
        <v>3.3</v>
      </c>
      <c r="N9" s="3" t="n">
        <f>ROUND(I9/AVERAGE(F9,G9)*100,2)</f>
        <v>1.61</v>
      </c>
      <c r="O9" s="7" t="n">
        <f>ROUND(D9-E9-G9,2)</f>
        <v>0</v>
      </c>
      <c r="P9" s="7" t="n">
        <f>ROUND(G9-F9-I9+K9,2)</f>
        <v>0</v>
      </c>
    </row>
    <row r="10" ht="23" customHeight="1">
      <c r="A10" s="2" t="str">
        <v>子公司B</v>
      </c>
      <c r="B10" s="2" t="str">
        <v>202502</v>
      </c>
      <c r="C10" s="7" t="n">
        <v>9593.78</v>
      </c>
      <c r="D10" s="7" t="n">
        <v>9673.7</v>
      </c>
      <c r="E10" s="7" t="n">
        <v>5253.04</v>
      </c>
      <c r="F10" s="7" t="n">
        <v>4351.67</v>
      </c>
      <c r="G10" s="7" t="n">
        <v>4420.66</v>
      </c>
      <c r="H10" s="7" t="n">
        <v>4275</v>
      </c>
      <c r="I10" s="7" t="n">
        <v>68.99</v>
      </c>
      <c r="J10" s="7" t="n">
        <v>145.66</v>
      </c>
      <c r="K10" s="7" t="n">
        <v>0</v>
      </c>
      <c r="L10" s="3" t="n">
        <f>ROUND(E10/D10*100,2)</f>
        <v>54.3</v>
      </c>
      <c r="M10" s="3" t="n">
        <f>ROUND(J10/AVERAGE(H10,G10)*100,2)</f>
        <v>3.35</v>
      </c>
      <c r="N10" s="3" t="n">
        <f>ROUND(I10/AVERAGE(F10,G10)*100,2)</f>
        <v>1.57</v>
      </c>
      <c r="O10" s="7" t="n">
        <f>ROUND(D10-E10-G10,2)</f>
        <v>0</v>
      </c>
      <c r="P10" s="7" t="n">
        <f>ROUND(G10-F10-I10+K10,2)</f>
        <v>0</v>
      </c>
    </row>
    <row r="11" ht="23" customHeight="1">
      <c r="A11" s="2" t="str">
        <v>子公司C</v>
      </c>
      <c r="B11" s="2" t="str">
        <v>202502</v>
      </c>
      <c r="C11" s="7" t="n">
        <v>7069.14</v>
      </c>
      <c r="D11" s="7" t="n">
        <v>7126.41</v>
      </c>
      <c r="E11" s="7" t="n">
        <v>3372.64</v>
      </c>
      <c r="F11" s="7" t="n">
        <v>3700.27</v>
      </c>
      <c r="G11" s="7" t="n">
        <v>3753.77</v>
      </c>
      <c r="H11" s="7" t="n">
        <v>3640</v>
      </c>
      <c r="I11" s="7" t="n">
        <v>53.5</v>
      </c>
      <c r="J11" s="7" t="n">
        <v>113.77</v>
      </c>
      <c r="K11" s="7" t="n">
        <v>0</v>
      </c>
      <c r="L11" s="3" t="n">
        <f>ROUND(E11/D11*100,2)</f>
        <v>47.33</v>
      </c>
      <c r="M11" s="3" t="n">
        <f>ROUND(J11/AVERAGE(H11,G11)*100,2)</f>
        <v>3.08</v>
      </c>
      <c r="N11" s="3" t="n">
        <f>ROUND(I11/AVERAGE(F11,G11)*100,2)</f>
        <v>1.44</v>
      </c>
      <c r="O11" s="7" t="n">
        <f>ROUND(D11-E11-G11,2)</f>
        <v>0</v>
      </c>
      <c r="P11" s="7" t="n">
        <f>ROUND(G11-F11-I11+K11,2)</f>
        <v>0</v>
      </c>
    </row>
    <row r="12" ht="23" customHeight="1">
      <c r="A12" s="2" t="str">
        <v>集团公司（合并）</v>
      </c>
      <c r="B12" s="2" t="str">
        <v>202503</v>
      </c>
      <c r="C12" s="7" t="n">
        <v>52128.31</v>
      </c>
      <c r="D12" s="7" t="n">
        <v>52599.94</v>
      </c>
      <c r="E12" s="7" t="n">
        <v>30707.82</v>
      </c>
      <c r="F12" s="7" t="n">
        <v>21473.78</v>
      </c>
      <c r="G12" s="7" t="n">
        <v>21892.12</v>
      </c>
      <c r="H12" s="7" t="n">
        <v>20855</v>
      </c>
      <c r="I12" s="7" t="n">
        <v>418.34</v>
      </c>
      <c r="J12" s="7" t="n">
        <v>1037.12</v>
      </c>
      <c r="K12" s="7" t="n">
        <v>0</v>
      </c>
      <c r="L12" s="3" t="n">
        <f>ROUND(E12/D12*100,2)</f>
        <v>58.38</v>
      </c>
      <c r="M12" s="3" t="n">
        <f>ROUND(J12/AVERAGE(H12,G12)*100,2)</f>
        <v>4.85</v>
      </c>
      <c r="N12" s="3" t="n">
        <f>ROUND(I12/AVERAGE(F12,G12)*100,2)</f>
        <v>1.93</v>
      </c>
      <c r="O12" s="7" t="n">
        <f>ROUND(D12-E12-G12,2)</f>
        <v>0</v>
      </c>
      <c r="P12" s="7" t="n">
        <f>ROUND(G12-F12-I12+K12,2)</f>
        <v>0</v>
      </c>
    </row>
    <row r="13" ht="23" customHeight="1">
      <c r="A13" s="2" t="str">
        <v>集团公司（本部）</v>
      </c>
      <c r="B13" s="2" t="str">
        <v>202503</v>
      </c>
      <c r="C13" s="7" t="n">
        <v>25289.74</v>
      </c>
      <c r="D13" s="7" t="n">
        <v>25510.77</v>
      </c>
      <c r="E13" s="7" t="n">
        <v>14602.73</v>
      </c>
      <c r="F13" s="7" t="n">
        <v>10734.68</v>
      </c>
      <c r="G13" s="7" t="n">
        <v>10908.04</v>
      </c>
      <c r="H13" s="7" t="n">
        <v>10500</v>
      </c>
      <c r="I13" s="7" t="n">
        <v>173.36</v>
      </c>
      <c r="J13" s="7" t="n">
        <v>408.04</v>
      </c>
      <c r="K13" s="7" t="n">
        <v>0</v>
      </c>
      <c r="L13" s="3" t="n">
        <f>ROUND(E13/D13*100,2)</f>
        <v>57.24</v>
      </c>
      <c r="M13" s="3" t="n">
        <f>ROUND(J13/AVERAGE(H13,G13)*100,2)</f>
        <v>3.81</v>
      </c>
      <c r="N13" s="3" t="n">
        <f>ROUND(I13/AVERAGE(F13,G13)*100,2)</f>
        <v>1.6</v>
      </c>
      <c r="O13" s="7" t="n">
        <f>ROUND(D13-E13-G13,2)</f>
        <v>0</v>
      </c>
      <c r="P13" s="7" t="n">
        <f>ROUND(G13-F13-I13+K13,2)</f>
        <v>0</v>
      </c>
    </row>
    <row r="14" ht="23" customHeight="1">
      <c r="A14" s="2" t="str">
        <v>子公司A</v>
      </c>
      <c r="B14" s="2" t="str">
        <v>202503</v>
      </c>
      <c r="C14" s="7" t="n">
        <v>13205.95</v>
      </c>
      <c r="D14" s="7" t="n">
        <v>13333.86</v>
      </c>
      <c r="E14" s="7" t="n">
        <v>8119.13</v>
      </c>
      <c r="F14" s="7" t="n">
        <v>5105.61</v>
      </c>
      <c r="G14" s="7" t="n">
        <v>5214.73</v>
      </c>
      <c r="H14" s="7" t="n">
        <v>4940</v>
      </c>
      <c r="I14" s="7" t="n">
        <v>109.12</v>
      </c>
      <c r="J14" s="7" t="n">
        <v>274.73</v>
      </c>
      <c r="K14" s="7" t="n">
        <v>0</v>
      </c>
      <c r="L14" s="3" t="n">
        <f>ROUND(E14/D14*100,2)</f>
        <v>60.89</v>
      </c>
      <c r="M14" s="3" t="n">
        <f>ROUND(J14/AVERAGE(H14,G14)*100,2)</f>
        <v>5.41</v>
      </c>
      <c r="N14" s="3" t="n">
        <f>ROUND(I14/AVERAGE(F14,G14)*100,2)</f>
        <v>2.11</v>
      </c>
      <c r="O14" s="7" t="n">
        <f>ROUND(D14-E14-G14,2)</f>
        <v>0</v>
      </c>
      <c r="P14" s="7" t="n">
        <f>ROUND(G14-F14-I14+K14,2)</f>
        <v>0</v>
      </c>
    </row>
    <row r="15" ht="23" customHeight="1">
      <c r="A15" s="2" t="str">
        <v>子公司B</v>
      </c>
      <c r="B15" s="2" t="str">
        <v>202503</v>
      </c>
      <c r="C15" s="7" t="n">
        <v>9673.7</v>
      </c>
      <c r="D15" s="7" t="n">
        <v>9771</v>
      </c>
      <c r="E15" s="7" t="n">
        <v>5259.93</v>
      </c>
      <c r="F15" s="7" t="n">
        <v>4420.66</v>
      </c>
      <c r="G15" s="7" t="n">
        <v>4511.07</v>
      </c>
      <c r="H15" s="7" t="n">
        <v>4275</v>
      </c>
      <c r="I15" s="7" t="n">
        <v>90.41</v>
      </c>
      <c r="J15" s="7" t="n">
        <v>236.07</v>
      </c>
      <c r="K15" s="7" t="n">
        <v>0</v>
      </c>
      <c r="L15" s="3" t="n">
        <f>ROUND(E15/D15*100,2)</f>
        <v>53.83</v>
      </c>
      <c r="M15" s="3" t="n">
        <f>ROUND(J15/AVERAGE(H15,G15)*100,2)</f>
        <v>5.37</v>
      </c>
      <c r="N15" s="3" t="n">
        <f>ROUND(I15/AVERAGE(F15,G15)*100,2)</f>
        <v>2.02</v>
      </c>
      <c r="O15" s="7" t="n">
        <f>ROUND(D15-E15-G15,2)</f>
        <v>0</v>
      </c>
      <c r="P15" s="7" t="n">
        <f>ROUND(G15-F15-I15+K15,2)</f>
        <v>0</v>
      </c>
    </row>
    <row r="16" ht="23" customHeight="1">
      <c r="A16" s="2" t="str">
        <v>子公司C</v>
      </c>
      <c r="B16" s="2" t="str">
        <v>202503</v>
      </c>
      <c r="C16" s="7" t="n">
        <v>7126.41</v>
      </c>
      <c r="D16" s="7" t="n">
        <v>7203.68</v>
      </c>
      <c r="E16" s="7" t="n">
        <v>3376.54</v>
      </c>
      <c r="F16" s="7" t="n">
        <v>3753.77</v>
      </c>
      <c r="G16" s="7" t="n">
        <v>3827.14</v>
      </c>
      <c r="H16" s="7" t="n">
        <v>3640</v>
      </c>
      <c r="I16" s="7" t="n">
        <v>73.37</v>
      </c>
      <c r="J16" s="7" t="n">
        <v>187.14</v>
      </c>
      <c r="K16" s="7" t="n">
        <v>0</v>
      </c>
      <c r="L16" s="3" t="n">
        <f>ROUND(E16/D16*100,2)</f>
        <v>46.87</v>
      </c>
      <c r="M16" s="3" t="n">
        <f>ROUND(J16/AVERAGE(H16,G16)*100,2)</f>
        <v>5.01</v>
      </c>
      <c r="N16" s="3" t="n">
        <f>ROUND(I16/AVERAGE(F16,G16)*100,2)</f>
        <v>1.94</v>
      </c>
      <c r="O16" s="7" t="n">
        <f>ROUND(D16-E16-G16,2)</f>
        <v>0</v>
      </c>
      <c r="P16" s="7" t="n">
        <f>ROUND(G16-F16-I16+K16,2)</f>
        <v>0</v>
      </c>
    </row>
    <row r="17" ht="23" customHeight="1">
      <c r="A17" s="2" t="str">
        <v>集团公司（合并）</v>
      </c>
      <c r="B17" s="2" t="str">
        <v>202504</v>
      </c>
      <c r="C17" s="7" t="n">
        <v>52599.94</v>
      </c>
      <c r="D17" s="7" t="n">
        <v>52999.02</v>
      </c>
      <c r="E17" s="7" t="n">
        <v>30738.01</v>
      </c>
      <c r="F17" s="7" t="n">
        <v>21892.12</v>
      </c>
      <c r="G17" s="7" t="n">
        <v>22261.01</v>
      </c>
      <c r="H17" s="7" t="n">
        <v>20855</v>
      </c>
      <c r="I17" s="7" t="n">
        <v>368.89</v>
      </c>
      <c r="J17" s="7" t="n">
        <v>1406.01</v>
      </c>
      <c r="K17" s="7" t="n">
        <v>0</v>
      </c>
      <c r="L17" s="3" t="n">
        <f>ROUND(E17/D17*100,2)</f>
        <v>58</v>
      </c>
      <c r="M17" s="3" t="n">
        <f>ROUND(J17/AVERAGE(H17,G17)*100,2)</f>
        <v>6.52</v>
      </c>
      <c r="N17" s="3" t="n">
        <f>ROUND(I17/AVERAGE(F17,G17)*100,2)</f>
        <v>1.67</v>
      </c>
      <c r="O17" s="7" t="n">
        <f>ROUND(D17-E17-G17,2)</f>
        <v>0</v>
      </c>
      <c r="P17" s="7" t="n">
        <f>ROUND(G17-F17-I17+K17,2)</f>
        <v>0</v>
      </c>
    </row>
    <row r="18" ht="23" customHeight="1">
      <c r="A18" s="2" t="str">
        <v>集团公司（本部）</v>
      </c>
      <c r="B18" s="2" t="str">
        <v>202504</v>
      </c>
      <c r="C18" s="7" t="n">
        <v>25510.77</v>
      </c>
      <c r="D18" s="7" t="n">
        <v>25692.87</v>
      </c>
      <c r="E18" s="7" t="n">
        <v>14631.76</v>
      </c>
      <c r="F18" s="7" t="n">
        <v>10908.04</v>
      </c>
      <c r="G18" s="7" t="n">
        <v>11061.11</v>
      </c>
      <c r="H18" s="7" t="n">
        <v>10500</v>
      </c>
      <c r="I18" s="7" t="n">
        <v>153.07</v>
      </c>
      <c r="J18" s="7" t="n">
        <v>561.11</v>
      </c>
      <c r="K18" s="7" t="n">
        <v>0</v>
      </c>
      <c r="L18" s="3" t="n">
        <f>ROUND(E18/D18*100,2)</f>
        <v>56.95</v>
      </c>
      <c r="M18" s="3" t="n">
        <f>ROUND(J18/AVERAGE(H18,G18)*100,2)</f>
        <v>5.2</v>
      </c>
      <c r="N18" s="3" t="n">
        <f>ROUND(I18/AVERAGE(F18,G18)*100,2)</f>
        <v>1.39</v>
      </c>
      <c r="O18" s="7" t="n">
        <f>ROUND(D18-E18-G18,2)</f>
        <v>0</v>
      </c>
      <c r="P18" s="7" t="n">
        <f>ROUND(G18-F18-I18+K18,2)</f>
        <v>0</v>
      </c>
    </row>
    <row r="19" ht="23" customHeight="1">
      <c r="A19" s="2" t="str">
        <v>子公司A</v>
      </c>
      <c r="B19" s="2" t="str">
        <v>202504</v>
      </c>
      <c r="C19" s="7" t="n">
        <v>13333.86</v>
      </c>
      <c r="D19" s="7" t="n">
        <v>13434.79</v>
      </c>
      <c r="E19" s="7" t="n">
        <v>8126.86</v>
      </c>
      <c r="F19" s="7" t="n">
        <v>5214.73</v>
      </c>
      <c r="G19" s="7" t="n">
        <v>5307.93</v>
      </c>
      <c r="H19" s="7" t="n">
        <v>4940</v>
      </c>
      <c r="I19" s="7" t="n">
        <v>93.2</v>
      </c>
      <c r="J19" s="7" t="n">
        <v>367.93</v>
      </c>
      <c r="K19" s="7" t="n">
        <v>0</v>
      </c>
      <c r="L19" s="3" t="n">
        <f>ROUND(E19/D19*100,2)</f>
        <v>60.49</v>
      </c>
      <c r="M19" s="3" t="n">
        <f>ROUND(J19/AVERAGE(H19,G19)*100,2)</f>
        <v>7.18</v>
      </c>
      <c r="N19" s="3" t="n">
        <f>ROUND(I19/AVERAGE(F19,G19)*100,2)</f>
        <v>1.77</v>
      </c>
      <c r="O19" s="7" t="n">
        <f>ROUND(D19-E19-G19,2)</f>
        <v>0</v>
      </c>
      <c r="P19" s="7" t="n">
        <f>ROUND(G19-F19-I19+K19,2)</f>
        <v>0</v>
      </c>
    </row>
    <row r="20" ht="23" customHeight="1">
      <c r="A20" s="2" t="str">
        <v>子公司B</v>
      </c>
      <c r="B20" s="2" t="str">
        <v>202504</v>
      </c>
      <c r="C20" s="7" t="n">
        <v>9771</v>
      </c>
      <c r="D20" s="7" t="n">
        <v>9855.11</v>
      </c>
      <c r="E20" s="7" t="n">
        <v>5264.58</v>
      </c>
      <c r="F20" s="7" t="n">
        <v>4511.07</v>
      </c>
      <c r="G20" s="7" t="n">
        <v>4590.53</v>
      </c>
      <c r="H20" s="7" t="n">
        <v>4275</v>
      </c>
      <c r="I20" s="7" t="n">
        <v>79.46</v>
      </c>
      <c r="J20" s="7" t="n">
        <v>315.53</v>
      </c>
      <c r="K20" s="7" t="n">
        <v>0</v>
      </c>
      <c r="L20" s="3" t="n">
        <f>ROUND(E20/D20*100,2)</f>
        <v>53.42</v>
      </c>
      <c r="M20" s="3" t="n">
        <f>ROUND(J20/AVERAGE(H20,G20)*100,2)</f>
        <v>7.12</v>
      </c>
      <c r="N20" s="3" t="n">
        <f>ROUND(I20/AVERAGE(F20,G20)*100,2)</f>
        <v>1.75</v>
      </c>
      <c r="O20" s="7" t="n">
        <f>ROUND(D20-E20-G20,2)</f>
        <v>0</v>
      </c>
      <c r="P20" s="7" t="n">
        <f>ROUND(G20-F20-I20+K20,2)</f>
        <v>0</v>
      </c>
    </row>
    <row r="21" ht="23" customHeight="1">
      <c r="A21" s="2" t="str">
        <v>子公司C</v>
      </c>
      <c r="B21" s="2" t="str">
        <v>202504</v>
      </c>
      <c r="C21" s="7" t="n">
        <v>7203.68</v>
      </c>
      <c r="D21" s="7" t="n">
        <v>7280.45</v>
      </c>
      <c r="E21" s="7" t="n">
        <v>3384.75</v>
      </c>
      <c r="F21" s="7" t="n">
        <v>3827.14</v>
      </c>
      <c r="G21" s="7" t="n">
        <v>3895.7</v>
      </c>
      <c r="H21" s="7" t="n">
        <v>3640</v>
      </c>
      <c r="I21" s="7" t="n">
        <v>68.56</v>
      </c>
      <c r="J21" s="7" t="n">
        <v>255.7</v>
      </c>
      <c r="K21" s="7" t="n">
        <v>0</v>
      </c>
      <c r="L21" s="3" t="n">
        <f>ROUND(E21/D21*100,2)</f>
        <v>46.49</v>
      </c>
      <c r="M21" s="3" t="n">
        <f>ROUND(J21/AVERAGE(H21,G21)*100,2)</f>
        <v>6.79</v>
      </c>
      <c r="N21" s="3" t="n">
        <f>ROUND(I21/AVERAGE(F21,G21)*100,2)</f>
        <v>1.78</v>
      </c>
      <c r="O21" s="7" t="n">
        <f>ROUND(D21-E21-G21,2)</f>
        <v>0</v>
      </c>
      <c r="P21" s="7" t="n">
        <f>ROUND(G21-F21-I21+K21,2)</f>
        <v>0</v>
      </c>
    </row>
    <row r="22" ht="23" customHeight="1">
      <c r="A22" s="2" t="str">
        <v>集团公司（合并）</v>
      </c>
      <c r="B22" s="2" t="str">
        <v>202505</v>
      </c>
      <c r="C22" s="7" t="n">
        <v>52999.02</v>
      </c>
      <c r="D22" s="7" t="n">
        <v>53407.24</v>
      </c>
      <c r="E22" s="7" t="n">
        <v>30770.14</v>
      </c>
      <c r="F22" s="7" t="n">
        <v>22261.01</v>
      </c>
      <c r="G22" s="7" t="n">
        <v>22637.1</v>
      </c>
      <c r="H22" s="7" t="n">
        <v>20855</v>
      </c>
      <c r="I22" s="7" t="n">
        <v>376.09</v>
      </c>
      <c r="J22" s="7" t="n">
        <v>1782.1</v>
      </c>
      <c r="K22" s="7" t="n">
        <v>0</v>
      </c>
      <c r="L22" s="3" t="n">
        <f>ROUND(E22/D22*100,2)</f>
        <v>57.61</v>
      </c>
      <c r="M22" s="3" t="n">
        <f>ROUND(J22/AVERAGE(H22,G22)*100,2)</f>
        <v>8.2</v>
      </c>
      <c r="N22" s="3" t="n">
        <f>ROUND(I22/AVERAGE(F22,G22)*100,2)</f>
        <v>1.68</v>
      </c>
      <c r="O22" s="7" t="n">
        <f>ROUND(D22-E22-G22,2)</f>
        <v>0</v>
      </c>
      <c r="P22" s="7" t="n">
        <f>ROUND(G22-F22-I22+K22,2)</f>
        <v>0</v>
      </c>
    </row>
    <row r="23" ht="23" customHeight="1">
      <c r="A23" s="2" t="str">
        <v>集团公司（本部）</v>
      </c>
      <c r="B23" s="2" t="str">
        <v>202505</v>
      </c>
      <c r="C23" s="7" t="n">
        <v>25692.87</v>
      </c>
      <c r="D23" s="7" t="n">
        <v>25858.76</v>
      </c>
      <c r="E23" s="7" t="n">
        <v>14645.58</v>
      </c>
      <c r="F23" s="7" t="n">
        <v>11061.11</v>
      </c>
      <c r="G23" s="7" t="n">
        <v>11213.18</v>
      </c>
      <c r="H23" s="7" t="n">
        <v>10500</v>
      </c>
      <c r="I23" s="7" t="n">
        <v>152.07</v>
      </c>
      <c r="J23" s="7" t="n">
        <v>713.18</v>
      </c>
      <c r="K23" s="7" t="n">
        <v>0</v>
      </c>
      <c r="L23" s="3" t="n">
        <f>ROUND(E23/D23*100,2)</f>
        <v>56.64</v>
      </c>
      <c r="M23" s="3" t="n">
        <f>ROUND(J23/AVERAGE(H23,G23)*100,2)</f>
        <v>6.57</v>
      </c>
      <c r="N23" s="3" t="n">
        <f>ROUND(I23/AVERAGE(F23,G23)*100,2)</f>
        <v>1.37</v>
      </c>
      <c r="O23" s="7" t="n">
        <f>ROUND(D23-E23-G23,2)</f>
        <v>0</v>
      </c>
      <c r="P23" s="7" t="n">
        <f>ROUND(G23-F23-I23+K23,2)</f>
        <v>0</v>
      </c>
    </row>
    <row r="24" ht="23" customHeight="1">
      <c r="A24" s="2" t="str">
        <v>子公司A</v>
      </c>
      <c r="B24" s="2" t="str">
        <v>202505</v>
      </c>
      <c r="C24" s="7" t="n">
        <v>13434.79</v>
      </c>
      <c r="D24" s="7" t="n">
        <v>13533.85</v>
      </c>
      <c r="E24" s="7" t="n">
        <v>8132.87</v>
      </c>
      <c r="F24" s="7" t="n">
        <v>5307.93</v>
      </c>
      <c r="G24" s="7" t="n">
        <v>5400.98</v>
      </c>
      <c r="H24" s="7" t="n">
        <v>4940</v>
      </c>
      <c r="I24" s="7" t="n">
        <v>93.05</v>
      </c>
      <c r="J24" s="7" t="n">
        <v>460.98</v>
      </c>
      <c r="K24" s="7" t="n">
        <v>0</v>
      </c>
      <c r="L24" s="3" t="n">
        <f>ROUND(E24/D24*100,2)</f>
        <v>60.09</v>
      </c>
      <c r="M24" s="3" t="n">
        <f>ROUND(J24/AVERAGE(H24,G24)*100,2)</f>
        <v>8.92</v>
      </c>
      <c r="N24" s="3" t="n">
        <f>ROUND(I24/AVERAGE(F24,G24)*100,2)</f>
        <v>1.74</v>
      </c>
      <c r="O24" s="7" t="n">
        <f>ROUND(D24-E24-G24,2)</f>
        <v>0</v>
      </c>
      <c r="P24" s="7" t="n">
        <f>ROUND(G24-F24-I24+K24,2)</f>
        <v>0</v>
      </c>
    </row>
    <row r="25" ht="23" customHeight="1">
      <c r="A25" s="2" t="str">
        <v>子公司B</v>
      </c>
      <c r="B25" s="2" t="str">
        <v>202505</v>
      </c>
      <c r="C25" s="7" t="n">
        <v>9855.11</v>
      </c>
      <c r="D25" s="7" t="n">
        <v>9949.51</v>
      </c>
      <c r="E25" s="7" t="n">
        <v>5275.77</v>
      </c>
      <c r="F25" s="7" t="n">
        <v>4590.53</v>
      </c>
      <c r="G25" s="7" t="n">
        <v>4673.74</v>
      </c>
      <c r="H25" s="7" t="n">
        <v>4275</v>
      </c>
      <c r="I25" s="7" t="n">
        <v>83.21</v>
      </c>
      <c r="J25" s="7" t="n">
        <v>398.74</v>
      </c>
      <c r="K25" s="7" t="n">
        <v>0</v>
      </c>
      <c r="L25" s="3" t="n">
        <f>ROUND(E25/D25*100,2)</f>
        <v>53.03</v>
      </c>
      <c r="M25" s="3" t="n">
        <f>ROUND(J25/AVERAGE(H25,G25)*100,2)</f>
        <v>8.91</v>
      </c>
      <c r="N25" s="3" t="n">
        <f>ROUND(I25/AVERAGE(F25,G25)*100,2)</f>
        <v>1.8</v>
      </c>
      <c r="O25" s="7" t="n">
        <f>ROUND(D25-E25-G25,2)</f>
        <v>0</v>
      </c>
      <c r="P25" s="7" t="n">
        <f>ROUND(G25-F25-I25+K25,2)</f>
        <v>0</v>
      </c>
    </row>
    <row r="26" ht="23" customHeight="1">
      <c r="A26" s="2" t="str">
        <v>子公司C</v>
      </c>
      <c r="B26" s="2" t="str">
        <v>202505</v>
      </c>
      <c r="C26" s="7" t="n">
        <v>7280.45</v>
      </c>
      <c r="D26" s="7" t="n">
        <v>7370.24</v>
      </c>
      <c r="E26" s="7" t="n">
        <v>3399.92</v>
      </c>
      <c r="F26" s="7" t="n">
        <v>3895.7</v>
      </c>
      <c r="G26" s="7" t="n">
        <v>3970.32</v>
      </c>
      <c r="H26" s="7" t="n">
        <v>3640</v>
      </c>
      <c r="I26" s="7" t="n">
        <v>74.62</v>
      </c>
      <c r="J26" s="7" t="n">
        <v>330.32</v>
      </c>
      <c r="K26" s="7" t="n">
        <v>0</v>
      </c>
      <c r="L26" s="3" t="n">
        <f>ROUND(E26/D26*100,2)</f>
        <v>46.13</v>
      </c>
      <c r="M26" s="3" t="n">
        <f>ROUND(J26/AVERAGE(H26,G26)*100,2)</f>
        <v>8.68</v>
      </c>
      <c r="N26" s="3" t="n">
        <f>ROUND(I26/AVERAGE(F26,G26)*100,2)</f>
        <v>1.9</v>
      </c>
      <c r="O26" s="7" t="n">
        <f>ROUND(D26-E26-G26,2)</f>
        <v>0</v>
      </c>
      <c r="P26" s="7" t="n">
        <f>ROUND(G26-F26-I26+K26,2)</f>
        <v>0</v>
      </c>
    </row>
    <row r="27" ht="23" customHeight="1">
      <c r="A27" s="2" t="str">
        <v>集团公司（合并）</v>
      </c>
      <c r="B27" s="2" t="str">
        <v>202506</v>
      </c>
      <c r="C27" s="7" t="n">
        <v>53407.24</v>
      </c>
      <c r="D27" s="7" t="n">
        <v>53889.78</v>
      </c>
      <c r="E27" s="7" t="n">
        <v>30830.43</v>
      </c>
      <c r="F27" s="7" t="n">
        <v>22637.1</v>
      </c>
      <c r="G27" s="7" t="n">
        <v>23059.35</v>
      </c>
      <c r="H27" s="7" t="n">
        <v>20855</v>
      </c>
      <c r="I27" s="7" t="n">
        <v>422.25</v>
      </c>
      <c r="J27" s="7" t="n">
        <v>2204.35</v>
      </c>
      <c r="K27" s="7" t="n">
        <v>0</v>
      </c>
      <c r="L27" s="3" t="n">
        <f>ROUND(E27/D27*100,2)</f>
        <v>57.21</v>
      </c>
      <c r="M27" s="3" t="n">
        <f>ROUND(J27/AVERAGE(H27,G27)*100,2)</f>
        <v>10.04</v>
      </c>
      <c r="N27" s="3" t="n">
        <f>ROUND(I27/AVERAGE(F27,G27)*100,2)</f>
        <v>1.85</v>
      </c>
      <c r="O27" s="7" t="n">
        <f>ROUND(D27-E27-G27,2)</f>
        <v>0</v>
      </c>
      <c r="P27" s="7" t="n">
        <f>ROUND(G27-F27-I27+K27,2)</f>
        <v>0</v>
      </c>
    </row>
    <row r="28" ht="23" customHeight="1">
      <c r="A28" s="2" t="str">
        <v>集团公司（本部）</v>
      </c>
      <c r="B28" s="2" t="str">
        <v>202506</v>
      </c>
      <c r="C28" s="7" t="n">
        <v>25858.76</v>
      </c>
      <c r="D28" s="7" t="n">
        <v>26034.92</v>
      </c>
      <c r="E28" s="7" t="n">
        <v>14657.35</v>
      </c>
      <c r="F28" s="7" t="n">
        <v>11213.18</v>
      </c>
      <c r="G28" s="7" t="n">
        <v>11377.57</v>
      </c>
      <c r="H28" s="7" t="n">
        <v>10500</v>
      </c>
      <c r="I28" s="7" t="n">
        <v>164.39</v>
      </c>
      <c r="J28" s="7" t="n">
        <v>877.57</v>
      </c>
      <c r="K28" s="7" t="n">
        <v>0</v>
      </c>
      <c r="L28" s="3" t="n">
        <f>ROUND(E28/D28*100,2)</f>
        <v>56.3</v>
      </c>
      <c r="M28" s="3" t="n">
        <f>ROUND(J28/AVERAGE(H28,G28)*100,2)</f>
        <v>8.02</v>
      </c>
      <c r="N28" s="3" t="n">
        <f>ROUND(I28/AVERAGE(F28,G28)*100,2)</f>
        <v>1.46</v>
      </c>
      <c r="O28" s="7" t="n">
        <f>ROUND(D28-E28-G28,2)</f>
        <v>0</v>
      </c>
      <c r="P28" s="7" t="n">
        <f>ROUND(G28-F28-I28+K28,2)</f>
        <v>0</v>
      </c>
    </row>
    <row r="29" ht="23" customHeight="1">
      <c r="A29" s="2" t="str">
        <v>子公司A</v>
      </c>
      <c r="B29" s="2" t="str">
        <v>202506</v>
      </c>
      <c r="C29" s="7" t="n">
        <v>13533.85</v>
      </c>
      <c r="D29" s="7" t="n">
        <v>13652.97</v>
      </c>
      <c r="E29" s="7" t="n">
        <v>8148.56</v>
      </c>
      <c r="F29" s="7" t="n">
        <v>5400.98</v>
      </c>
      <c r="G29" s="7" t="n">
        <v>5504.41</v>
      </c>
      <c r="H29" s="7" t="n">
        <v>4940</v>
      </c>
      <c r="I29" s="7" t="n">
        <v>103.43</v>
      </c>
      <c r="J29" s="7" t="n">
        <v>564.41</v>
      </c>
      <c r="K29" s="7" t="n">
        <v>0</v>
      </c>
      <c r="L29" s="3" t="n">
        <f>ROUND(E29/D29*100,2)</f>
        <v>59.68</v>
      </c>
      <c r="M29" s="3" t="n">
        <f>ROUND(J29/AVERAGE(H29,G29)*100,2)</f>
        <v>10.81</v>
      </c>
      <c r="N29" s="3" t="n">
        <f>ROUND(I29/AVERAGE(F29,G29)*100,2)</f>
        <v>1.9</v>
      </c>
      <c r="O29" s="7" t="n">
        <f>ROUND(D29-E29-G29,2)</f>
        <v>0</v>
      </c>
      <c r="P29" s="7" t="n">
        <f>ROUND(G29-F29-I29+K29,2)</f>
        <v>0</v>
      </c>
    </row>
    <row r="30" ht="23" customHeight="1">
      <c r="A30" s="2" t="str">
        <v>子公司B</v>
      </c>
      <c r="B30" s="2" t="str">
        <v>202506</v>
      </c>
      <c r="C30" s="7" t="n">
        <v>9949.51</v>
      </c>
      <c r="D30" s="7" t="n">
        <v>10068.92</v>
      </c>
      <c r="E30" s="7" t="n">
        <v>5298.17</v>
      </c>
      <c r="F30" s="7" t="n">
        <v>4673.74</v>
      </c>
      <c r="G30" s="7" t="n">
        <v>4770.75</v>
      </c>
      <c r="H30" s="7" t="n">
        <v>4275</v>
      </c>
      <c r="I30" s="7" t="n">
        <v>97.01</v>
      </c>
      <c r="J30" s="7" t="n">
        <v>495.75</v>
      </c>
      <c r="K30" s="7" t="n">
        <v>0</v>
      </c>
      <c r="L30" s="3" t="n">
        <f>ROUND(E30/D30*100,2)</f>
        <v>52.62</v>
      </c>
      <c r="M30" s="3" t="n">
        <f>ROUND(J30/AVERAGE(H30,G30)*100,2)</f>
        <v>10.96</v>
      </c>
      <c r="N30" s="3" t="n">
        <f>ROUND(I30/AVERAGE(F30,G30)*100,2)</f>
        <v>2.05</v>
      </c>
      <c r="O30" s="7" t="n">
        <f>ROUND(D30-E30-G30,2)</f>
        <v>0</v>
      </c>
      <c r="P30" s="7" t="n">
        <f>ROUND(G30-F30-I30+K30,2)</f>
        <v>0</v>
      </c>
    </row>
    <row r="31" ht="23" customHeight="1">
      <c r="A31" s="2" t="str">
        <v>子公司C</v>
      </c>
      <c r="B31" s="2" t="str">
        <v>202506</v>
      </c>
      <c r="C31" s="7" t="n">
        <v>7370.24</v>
      </c>
      <c r="D31" s="7" t="n">
        <v>7478.18</v>
      </c>
      <c r="E31" s="7" t="n">
        <v>3419.52</v>
      </c>
      <c r="F31" s="7" t="n">
        <v>3970.32</v>
      </c>
      <c r="G31" s="7" t="n">
        <v>4058.66</v>
      </c>
      <c r="H31" s="7" t="n">
        <v>3640</v>
      </c>
      <c r="I31" s="7" t="n">
        <v>88.34</v>
      </c>
      <c r="J31" s="7" t="n">
        <v>418.66</v>
      </c>
      <c r="K31" s="7" t="n">
        <v>0</v>
      </c>
      <c r="L31" s="3" t="n">
        <f>ROUND(E31/D31*100,2)</f>
        <v>45.73</v>
      </c>
      <c r="M31" s="3" t="n">
        <f>ROUND(J31/AVERAGE(H31,G31)*100,2)</f>
        <v>10.88</v>
      </c>
      <c r="N31" s="3" t="n">
        <f>ROUND(I31/AVERAGE(F31,G31)*100,2)</f>
        <v>2.2</v>
      </c>
      <c r="O31" s="7" t="n">
        <f>ROUND(D31-E31-G31,2)</f>
        <v>0</v>
      </c>
      <c r="P31" s="7" t="n">
        <f>ROUND(G31-F31-I31+K31,2)</f>
        <v>0</v>
      </c>
    </row>
    <row r="32" ht="23" customHeight="1">
      <c r="A32" s="2" t="str">
        <v>集团公司（合并）</v>
      </c>
      <c r="B32" s="2" t="str">
        <v>202507</v>
      </c>
      <c r="C32" s="7" t="n">
        <v>53889.78</v>
      </c>
      <c r="D32" s="7" t="n">
        <v>54315.76</v>
      </c>
      <c r="E32" s="7" t="n">
        <v>30903.72</v>
      </c>
      <c r="F32" s="7" t="n">
        <v>23059.35</v>
      </c>
      <c r="G32" s="7" t="n">
        <v>23412.04</v>
      </c>
      <c r="H32" s="7" t="n">
        <v>20855</v>
      </c>
      <c r="I32" s="7" t="n">
        <v>352.69</v>
      </c>
      <c r="J32" s="7" t="n">
        <v>2557.04</v>
      </c>
      <c r="K32" s="7" t="n">
        <v>0</v>
      </c>
      <c r="L32" s="3" t="n">
        <f>ROUND(E32/D32*100,2)</f>
        <v>56.9</v>
      </c>
      <c r="M32" s="3" t="n">
        <f>ROUND(J32/AVERAGE(H32,G32)*100,2)</f>
        <v>11.55</v>
      </c>
      <c r="N32" s="3" t="n">
        <f>ROUND(I32/AVERAGE(F32,G32)*100,2)</f>
        <v>1.52</v>
      </c>
      <c r="O32" s="7" t="n">
        <f>ROUND(D32-E32-G32,2)</f>
        <v>0</v>
      </c>
      <c r="P32" s="7" t="n">
        <f>ROUND(G32-F32-I32+K32,2)</f>
        <v>0</v>
      </c>
    </row>
    <row r="33" ht="23" customHeight="1">
      <c r="A33" s="2" t="str">
        <v>集团公司（本部）</v>
      </c>
      <c r="B33" s="2" t="str">
        <v>202507</v>
      </c>
      <c r="C33" s="7" t="n">
        <v>26034.92</v>
      </c>
      <c r="D33" s="7" t="n">
        <v>26187.45</v>
      </c>
      <c r="E33" s="7" t="n">
        <v>14679.75</v>
      </c>
      <c r="F33" s="7" t="n">
        <v>11377.57</v>
      </c>
      <c r="G33" s="7" t="n">
        <v>11507.7</v>
      </c>
      <c r="H33" s="7" t="n">
        <v>10500</v>
      </c>
      <c r="I33" s="7" t="n">
        <v>130.13</v>
      </c>
      <c r="J33" s="7" t="n">
        <v>1007.7</v>
      </c>
      <c r="K33" s="7" t="n">
        <v>0</v>
      </c>
      <c r="L33" s="3" t="n">
        <f>ROUND(E33/D33*100,2)</f>
        <v>56.06</v>
      </c>
      <c r="M33" s="3" t="n">
        <f>ROUND(J33/AVERAGE(H33,G33)*100,2)</f>
        <v>9.16</v>
      </c>
      <c r="N33" s="3" t="n">
        <f>ROUND(I33/AVERAGE(F33,G33)*100,2)</f>
        <v>1.14</v>
      </c>
      <c r="O33" s="7" t="n">
        <f>ROUND(D33-E33-G33,2)</f>
        <v>0</v>
      </c>
      <c r="P33" s="7" t="n">
        <f>ROUND(G33-F33-I33+K33,2)</f>
        <v>0</v>
      </c>
    </row>
    <row r="34" ht="23" customHeight="1">
      <c r="A34" s="2" t="str">
        <v>子公司A</v>
      </c>
      <c r="B34" s="2" t="str">
        <v>202507</v>
      </c>
      <c r="C34" s="7" t="n">
        <v>13652.97</v>
      </c>
      <c r="D34" s="7" t="n">
        <v>13762.4</v>
      </c>
      <c r="E34" s="7" t="n">
        <v>8171.51</v>
      </c>
      <c r="F34" s="7" t="n">
        <v>5504.41</v>
      </c>
      <c r="G34" s="7" t="n">
        <v>5590.89</v>
      </c>
      <c r="H34" s="7" t="n">
        <v>4940</v>
      </c>
      <c r="I34" s="7" t="n">
        <v>86.48</v>
      </c>
      <c r="J34" s="7" t="n">
        <v>650.89</v>
      </c>
      <c r="K34" s="7" t="n">
        <v>0</v>
      </c>
      <c r="L34" s="3" t="n">
        <f>ROUND(E34/D34*100,2)</f>
        <v>59.38</v>
      </c>
      <c r="M34" s="3" t="n">
        <f>ROUND(J34/AVERAGE(H34,G34)*100,2)</f>
        <v>12.36</v>
      </c>
      <c r="N34" s="3" t="n">
        <f>ROUND(I34/AVERAGE(F34,G34)*100,2)</f>
        <v>1.56</v>
      </c>
      <c r="O34" s="7" t="n">
        <f>ROUND(D34-E34-G34,2)</f>
        <v>0</v>
      </c>
      <c r="P34" s="7" t="n">
        <f>ROUND(G34-F34-I34+K34,2)</f>
        <v>0</v>
      </c>
    </row>
    <row r="35" ht="23" customHeight="1">
      <c r="A35" s="2" t="str">
        <v>子公司B</v>
      </c>
      <c r="B35" s="2" t="str">
        <v>202507</v>
      </c>
      <c r="C35" s="7" t="n">
        <v>10068.92</v>
      </c>
      <c r="D35" s="7" t="n">
        <v>10174.87</v>
      </c>
      <c r="E35" s="7" t="n">
        <v>5319.46</v>
      </c>
      <c r="F35" s="7" t="n">
        <v>4770.75</v>
      </c>
      <c r="G35" s="7" t="n">
        <v>4855.41</v>
      </c>
      <c r="H35" s="7" t="n">
        <v>4275</v>
      </c>
      <c r="I35" s="7" t="n">
        <v>84.66</v>
      </c>
      <c r="J35" s="7" t="n">
        <v>580.41</v>
      </c>
      <c r="K35" s="7" t="n">
        <v>0</v>
      </c>
      <c r="L35" s="3" t="n">
        <f>ROUND(E35/D35*100,2)</f>
        <v>52.28</v>
      </c>
      <c r="M35" s="3" t="n">
        <f>ROUND(J35/AVERAGE(H35,G35)*100,2)</f>
        <v>12.71</v>
      </c>
      <c r="N35" s="3" t="n">
        <f>ROUND(I35/AVERAGE(F35,G35)*100,2)</f>
        <v>1.76</v>
      </c>
      <c r="O35" s="7" t="n">
        <f>ROUND(D35-E35-G35,2)</f>
        <v>0</v>
      </c>
      <c r="P35" s="7" t="n">
        <f>ROUND(G35-F35-I35+K35,2)</f>
        <v>0</v>
      </c>
    </row>
    <row r="36" ht="23" customHeight="1">
      <c r="A36" s="2" t="str">
        <v>子公司C</v>
      </c>
      <c r="B36" s="2" t="str">
        <v>202507</v>
      </c>
      <c r="C36" s="7" t="n">
        <v>7478.18</v>
      </c>
      <c r="D36" s="7" t="n">
        <v>7567.99</v>
      </c>
      <c r="E36" s="7" t="n">
        <v>3432.1</v>
      </c>
      <c r="F36" s="7" t="n">
        <v>4058.66</v>
      </c>
      <c r="G36" s="7" t="n">
        <v>4135.89</v>
      </c>
      <c r="H36" s="7" t="n">
        <v>3640</v>
      </c>
      <c r="I36" s="7" t="n">
        <v>77.23</v>
      </c>
      <c r="J36" s="7" t="n">
        <v>495.89</v>
      </c>
      <c r="K36" s="7" t="n">
        <v>0</v>
      </c>
      <c r="L36" s="3" t="n">
        <f>ROUND(E36/D36*100,2)</f>
        <v>45.35</v>
      </c>
      <c r="M36" s="3" t="n">
        <f>ROUND(J36/AVERAGE(H36,G36)*100,2)</f>
        <v>12.75</v>
      </c>
      <c r="N36" s="3" t="n">
        <f>ROUND(I36/AVERAGE(F36,G36)*100,2)</f>
        <v>1.88</v>
      </c>
      <c r="O36" s="7" t="n">
        <f>ROUND(D36-E36-G36,2)</f>
        <v>0</v>
      </c>
      <c r="P36" s="7" t="n">
        <f>ROUND(G36-F36-I36+K36,2)</f>
        <v>0</v>
      </c>
    </row>
    <row r="37" ht="23" customHeight="1">
      <c r="A37" s="2" t="str">
        <v>集团公司（合并）</v>
      </c>
      <c r="B37" s="2" t="str">
        <v>202508</v>
      </c>
      <c r="C37" s="7" t="n">
        <v>54315.76</v>
      </c>
      <c r="D37" s="7" t="n">
        <v>54769.89</v>
      </c>
      <c r="E37" s="7" t="n">
        <v>30988.46</v>
      </c>
      <c r="F37" s="7" t="n">
        <v>23412.04</v>
      </c>
      <c r="G37" s="7" t="n">
        <v>23781.43</v>
      </c>
      <c r="H37" s="7" t="n">
        <v>20855</v>
      </c>
      <c r="I37" s="7" t="n">
        <v>369.39</v>
      </c>
      <c r="J37" s="7" t="n">
        <v>2926.43</v>
      </c>
      <c r="K37" s="7" t="n">
        <v>0</v>
      </c>
      <c r="L37" s="3" t="n">
        <f>ROUND(E37/D37*100,2)</f>
        <v>56.58</v>
      </c>
      <c r="M37" s="3" t="n">
        <f>ROUND(J37/AVERAGE(H37,G37)*100,2)</f>
        <v>13.11</v>
      </c>
      <c r="N37" s="3" t="n">
        <f>ROUND(I37/AVERAGE(F37,G37)*100,2)</f>
        <v>1.57</v>
      </c>
      <c r="O37" s="7" t="n">
        <f>ROUND(D37-E37-G37,2)</f>
        <v>0</v>
      </c>
      <c r="P37" s="7" t="n">
        <f>ROUND(G37-F37-I37+K37,2)</f>
        <v>0</v>
      </c>
    </row>
    <row r="38" ht="23" customHeight="1">
      <c r="A38" s="2" t="str">
        <v>集团公司（本部）</v>
      </c>
      <c r="B38" s="2" t="str">
        <v>202508</v>
      </c>
      <c r="C38" s="7" t="n">
        <v>26187.45</v>
      </c>
      <c r="D38" s="7" t="n">
        <v>26356.25</v>
      </c>
      <c r="E38" s="7" t="n">
        <v>14719.55</v>
      </c>
      <c r="F38" s="7" t="n">
        <v>11507.7</v>
      </c>
      <c r="G38" s="7" t="n">
        <v>11636.7</v>
      </c>
      <c r="H38" s="7" t="n">
        <v>10500</v>
      </c>
      <c r="I38" s="7" t="n">
        <v>129</v>
      </c>
      <c r="J38" s="7" t="n">
        <v>1136.7</v>
      </c>
      <c r="K38" s="7" t="n">
        <v>0</v>
      </c>
      <c r="L38" s="3" t="n">
        <f>ROUND(E38/D38*100,2)</f>
        <v>55.85</v>
      </c>
      <c r="M38" s="3" t="n">
        <f>ROUND(J38/AVERAGE(H38,G38)*100,2)</f>
        <v>10.27</v>
      </c>
      <c r="N38" s="3" t="n">
        <f>ROUND(I38/AVERAGE(F38,G38)*100,2)</f>
        <v>1.11</v>
      </c>
      <c r="O38" s="7" t="n">
        <f>ROUND(D38-E38-G38,2)</f>
        <v>0</v>
      </c>
      <c r="P38" s="7" t="n">
        <f>ROUND(G38-F38-I38+K38,2)</f>
        <v>0</v>
      </c>
    </row>
    <row r="39" ht="23" customHeight="1">
      <c r="A39" s="2" t="str">
        <v>子公司A</v>
      </c>
      <c r="B39" s="2" t="str">
        <v>202508</v>
      </c>
      <c r="C39" s="7" t="n">
        <v>13762.4</v>
      </c>
      <c r="D39" s="7" t="n">
        <v>13881.3</v>
      </c>
      <c r="E39" s="7" t="n">
        <v>8198.23</v>
      </c>
      <c r="F39" s="7" t="n">
        <v>5590.89</v>
      </c>
      <c r="G39" s="7" t="n">
        <v>5683.07</v>
      </c>
      <c r="H39" s="7" t="n">
        <v>4940</v>
      </c>
      <c r="I39" s="7" t="n">
        <v>92.18</v>
      </c>
      <c r="J39" s="7" t="n">
        <v>743.07</v>
      </c>
      <c r="K39" s="7" t="n">
        <v>0</v>
      </c>
      <c r="L39" s="3" t="n">
        <f>ROUND(E39/D39*100,2)</f>
        <v>59.06</v>
      </c>
      <c r="M39" s="3" t="n">
        <f>ROUND(J39/AVERAGE(H39,G39)*100,2)</f>
        <v>13.99</v>
      </c>
      <c r="N39" s="3" t="n">
        <f>ROUND(I39/AVERAGE(F39,G39)*100,2)</f>
        <v>1.64</v>
      </c>
      <c r="O39" s="7" t="n">
        <f>ROUND(D39-E39-G39,2)</f>
        <v>0</v>
      </c>
      <c r="P39" s="7" t="n">
        <f>ROUND(G39-F39-I39+K39,2)</f>
        <v>0</v>
      </c>
    </row>
    <row r="40" ht="23" customHeight="1">
      <c r="A40" s="2" t="str">
        <v>子公司B</v>
      </c>
      <c r="B40" s="2" t="str">
        <v>202508</v>
      </c>
      <c r="C40" s="7" t="n">
        <v>10174.87</v>
      </c>
      <c r="D40" s="7" t="n">
        <v>10284.03</v>
      </c>
      <c r="E40" s="7" t="n">
        <v>5336.28</v>
      </c>
      <c r="F40" s="7" t="n">
        <v>4855.41</v>
      </c>
      <c r="G40" s="7" t="n">
        <v>4947.75</v>
      </c>
      <c r="H40" s="7" t="n">
        <v>4275</v>
      </c>
      <c r="I40" s="7" t="n">
        <v>92.34</v>
      </c>
      <c r="J40" s="7" t="n">
        <v>672.75</v>
      </c>
      <c r="K40" s="7" t="n">
        <v>0</v>
      </c>
      <c r="L40" s="3" t="n">
        <f>ROUND(E40/D40*100,2)</f>
        <v>51.89</v>
      </c>
      <c r="M40" s="3" t="n">
        <f>ROUND(J40/AVERAGE(H40,G40)*100,2)</f>
        <v>14.59</v>
      </c>
      <c r="N40" s="3" t="n">
        <f>ROUND(I40/AVERAGE(F40,G40)*100,2)</f>
        <v>1.88</v>
      </c>
      <c r="O40" s="7" t="n">
        <f>ROUND(D40-E40-G40,2)</f>
        <v>0</v>
      </c>
      <c r="P40" s="7" t="n">
        <f>ROUND(G40-F40-I40+K40,2)</f>
        <v>0</v>
      </c>
    </row>
    <row r="41" ht="23" customHeight="1">
      <c r="A41" s="2" t="str">
        <v>子公司C</v>
      </c>
      <c r="B41" s="2" t="str">
        <v>202508</v>
      </c>
      <c r="C41" s="7" t="n">
        <v>7567.99</v>
      </c>
      <c r="D41" s="7" t="n">
        <v>7656.69</v>
      </c>
      <c r="E41" s="7" t="n">
        <v>3438.68</v>
      </c>
      <c r="F41" s="7" t="n">
        <v>4135.89</v>
      </c>
      <c r="G41" s="7" t="n">
        <v>4218.01</v>
      </c>
      <c r="H41" s="7" t="n">
        <v>3640</v>
      </c>
      <c r="I41" s="7" t="n">
        <v>82.12</v>
      </c>
      <c r="J41" s="7" t="n">
        <v>578.01</v>
      </c>
      <c r="K41" s="7" t="n">
        <v>0</v>
      </c>
      <c r="L41" s="3" t="n">
        <f>ROUND(E41/D41*100,2)</f>
        <v>44.91</v>
      </c>
      <c r="M41" s="3" t="n">
        <f>ROUND(J41/AVERAGE(H41,G41)*100,2)</f>
        <v>14.71</v>
      </c>
      <c r="N41" s="3" t="n">
        <f>ROUND(I41/AVERAGE(F41,G41)*100,2)</f>
        <v>1.97</v>
      </c>
      <c r="O41" s="7" t="n">
        <f>ROUND(D41-E41-G41,2)</f>
        <v>0</v>
      </c>
      <c r="P41" s="7" t="n">
        <f>ROUND(G41-F41-I41+K41,2)</f>
        <v>0</v>
      </c>
    </row>
    <row r="42" ht="23" customHeight="1">
      <c r="A42" s="2" t="str">
        <v>集团公司（合并）</v>
      </c>
      <c r="B42" s="2" t="str">
        <v>202509</v>
      </c>
      <c r="C42" s="7" t="n">
        <v>54769.89</v>
      </c>
      <c r="D42" s="7" t="n">
        <v>55305.16</v>
      </c>
      <c r="E42" s="7" t="n">
        <v>31072.83</v>
      </c>
      <c r="F42" s="7" t="n">
        <v>23781.43</v>
      </c>
      <c r="G42" s="7" t="n">
        <v>24232.33</v>
      </c>
      <c r="H42" s="7" t="n">
        <v>20855</v>
      </c>
      <c r="I42" s="7" t="n">
        <v>450.9</v>
      </c>
      <c r="J42" s="7" t="n">
        <v>3377.33</v>
      </c>
      <c r="K42" s="7" t="n">
        <v>0</v>
      </c>
      <c r="L42" s="3" t="n">
        <f>ROUND(E42/D42*100,2)</f>
        <v>56.18</v>
      </c>
      <c r="M42" s="3" t="n">
        <f>ROUND(J42/AVERAGE(H42,G42)*100,2)</f>
        <v>14.98</v>
      </c>
      <c r="N42" s="3" t="n">
        <f>ROUND(I42/AVERAGE(F42,G42)*100,2)</f>
        <v>1.88</v>
      </c>
      <c r="O42" s="7" t="n">
        <f>ROUND(D42-E42-G42,2)</f>
        <v>0</v>
      </c>
      <c r="P42" s="7" t="n">
        <f>ROUND(G42-F42-I42+K42,2)</f>
        <v>0</v>
      </c>
    </row>
    <row r="43" ht="23" customHeight="1">
      <c r="A43" s="2" t="str">
        <v>集团公司（本部）</v>
      </c>
      <c r="B43" s="2" t="str">
        <v>202509</v>
      </c>
      <c r="C43" s="7" t="n">
        <v>26356.25</v>
      </c>
      <c r="D43" s="7" t="n">
        <v>26565.22</v>
      </c>
      <c r="E43" s="7" t="n">
        <v>14772.65</v>
      </c>
      <c r="F43" s="7" t="n">
        <v>11636.7</v>
      </c>
      <c r="G43" s="7" t="n">
        <v>11792.57</v>
      </c>
      <c r="H43" s="7" t="n">
        <v>10500</v>
      </c>
      <c r="I43" s="7" t="n">
        <v>155.87</v>
      </c>
      <c r="J43" s="7" t="n">
        <v>1292.57</v>
      </c>
      <c r="K43" s="7" t="n">
        <v>0</v>
      </c>
      <c r="L43" s="3" t="n">
        <f>ROUND(E43/D43*100,2)</f>
        <v>55.61</v>
      </c>
      <c r="M43" s="3" t="n">
        <f>ROUND(J43/AVERAGE(H43,G43)*100,2)</f>
        <v>11.6</v>
      </c>
      <c r="N43" s="3" t="n">
        <f>ROUND(I43/AVERAGE(F43,G43)*100,2)</f>
        <v>1.33</v>
      </c>
      <c r="O43" s="7" t="n">
        <f>ROUND(D43-E43-G43,2)</f>
        <v>0</v>
      </c>
      <c r="P43" s="7" t="n">
        <f>ROUND(G43-F43-I43+K43,2)</f>
        <v>0</v>
      </c>
    </row>
    <row r="44" ht="23" customHeight="1">
      <c r="A44" s="2" t="str">
        <v>子公司A</v>
      </c>
      <c r="B44" s="2" t="str">
        <v>202509</v>
      </c>
      <c r="C44" s="7" t="n">
        <v>13881.3</v>
      </c>
      <c r="D44" s="7" t="n">
        <v>14022.19</v>
      </c>
      <c r="E44" s="7" t="n">
        <v>8222.46</v>
      </c>
      <c r="F44" s="7" t="n">
        <v>5683.07</v>
      </c>
      <c r="G44" s="7" t="n">
        <v>5799.73</v>
      </c>
      <c r="H44" s="7" t="n">
        <v>4940</v>
      </c>
      <c r="I44" s="7" t="n">
        <v>116.66</v>
      </c>
      <c r="J44" s="7" t="n">
        <v>859.73</v>
      </c>
      <c r="K44" s="7" t="n">
        <v>0</v>
      </c>
      <c r="L44" s="3" t="n">
        <f>ROUND(E44/D44*100,2)</f>
        <v>58.64</v>
      </c>
      <c r="M44" s="3" t="n">
        <f>ROUND(J44/AVERAGE(H44,G44)*100,2)</f>
        <v>16.01</v>
      </c>
      <c r="N44" s="3" t="n">
        <f>ROUND(I44/AVERAGE(F44,G44)*100,2)</f>
        <v>2.03</v>
      </c>
      <c r="O44" s="7" t="n">
        <f>ROUND(D44-E44-G44,2)</f>
        <v>0</v>
      </c>
      <c r="P44" s="7" t="n">
        <f>ROUND(G44-F44-I44+K44,2)</f>
        <v>0</v>
      </c>
    </row>
    <row r="45" ht="23" customHeight="1">
      <c r="A45" s="2" t="str">
        <v>子公司B</v>
      </c>
      <c r="B45" s="2" t="str">
        <v>202509</v>
      </c>
      <c r="C45" s="7" t="n">
        <v>10284.03</v>
      </c>
      <c r="D45" s="7" t="n">
        <v>10408.01</v>
      </c>
      <c r="E45" s="7" t="n">
        <v>5346.32</v>
      </c>
      <c r="F45" s="7" t="n">
        <v>4947.75</v>
      </c>
      <c r="G45" s="7" t="n">
        <v>5061.69</v>
      </c>
      <c r="H45" s="7" t="n">
        <v>4275</v>
      </c>
      <c r="I45" s="7" t="n">
        <v>113.94</v>
      </c>
      <c r="J45" s="7" t="n">
        <v>786.69</v>
      </c>
      <c r="K45" s="7" t="n">
        <v>0</v>
      </c>
      <c r="L45" s="3" t="n">
        <f>ROUND(E45/D45*100,2)</f>
        <v>51.37</v>
      </c>
      <c r="M45" s="3" t="n">
        <f>ROUND(J45/AVERAGE(H45,G45)*100,2)</f>
        <v>16.85</v>
      </c>
      <c r="N45" s="3" t="n">
        <f>ROUND(I45/AVERAGE(F45,G45)*100,2)</f>
        <v>2.28</v>
      </c>
      <c r="O45" s="7" t="n">
        <f>ROUND(D45-E45-G45,2)</f>
        <v>0</v>
      </c>
      <c r="P45" s="7" t="n">
        <f>ROUND(G45-F45-I45+K45,2)</f>
        <v>0</v>
      </c>
    </row>
    <row r="46" ht="23" customHeight="1">
      <c r="A46" s="2" t="str">
        <v>子公司C</v>
      </c>
      <c r="B46" s="2" t="str">
        <v>202509</v>
      </c>
      <c r="C46" s="7" t="n">
        <v>7656.69</v>
      </c>
      <c r="D46" s="7" t="n">
        <v>7755.99</v>
      </c>
      <c r="E46" s="7" t="n">
        <v>3442.75</v>
      </c>
      <c r="F46" s="7" t="n">
        <v>4218.01</v>
      </c>
      <c r="G46" s="7" t="n">
        <v>4313.24</v>
      </c>
      <c r="H46" s="7" t="n">
        <v>3640</v>
      </c>
      <c r="I46" s="7" t="n">
        <v>95.23</v>
      </c>
      <c r="J46" s="7" t="n">
        <v>673.24</v>
      </c>
      <c r="K46" s="7" t="n">
        <v>0</v>
      </c>
      <c r="L46" s="3" t="n">
        <f>ROUND(E46/D46*100,2)</f>
        <v>44.39</v>
      </c>
      <c r="M46" s="3" t="n">
        <f>ROUND(J46/AVERAGE(H46,G46)*100,2)</f>
        <v>16.93</v>
      </c>
      <c r="N46" s="3" t="n">
        <f>ROUND(I46/AVERAGE(F46,G46)*100,2)</f>
        <v>2.23</v>
      </c>
      <c r="O46" s="7" t="n">
        <f>ROUND(D46-E46-G46,2)</f>
        <v>0</v>
      </c>
      <c r="P46" s="7" t="n">
        <f>ROUND(G46-F46-I46+K46,2)</f>
        <v>0</v>
      </c>
    </row>
    <row r="47" ht="23" customHeight="1">
      <c r="A47" s="2" t="str">
        <v>集团公司（合并）</v>
      </c>
      <c r="B47" s="2" t="str">
        <v>202510</v>
      </c>
      <c r="C47" s="7" t="n">
        <v>55305.16</v>
      </c>
      <c r="D47" s="7" t="n">
        <v>55781.21</v>
      </c>
      <c r="E47" s="7" t="n">
        <v>31122.52</v>
      </c>
      <c r="F47" s="7" t="n">
        <v>24232.33</v>
      </c>
      <c r="G47" s="7" t="n">
        <v>24658.69</v>
      </c>
      <c r="H47" s="7" t="n">
        <v>20855</v>
      </c>
      <c r="I47" s="7" t="n">
        <v>426.36</v>
      </c>
      <c r="J47" s="7" t="n">
        <v>3803.69</v>
      </c>
      <c r="K47" s="7" t="n">
        <v>0</v>
      </c>
      <c r="L47" s="3" t="n">
        <f>ROUND(E47/D47*100,2)</f>
        <v>55.79</v>
      </c>
      <c r="M47" s="3" t="n">
        <f>ROUND(J47/AVERAGE(H47,G47)*100,2)</f>
        <v>16.71</v>
      </c>
      <c r="N47" s="3" t="n">
        <f>ROUND(I47/AVERAGE(F47,G47)*100,2)</f>
        <v>1.74</v>
      </c>
      <c r="O47" s="7" t="n">
        <f>ROUND(D47-E47-G47,2)</f>
        <v>0</v>
      </c>
      <c r="P47" s="7" t="n">
        <f>ROUND(G47-F47-I47+K47,2)</f>
        <v>0</v>
      </c>
    </row>
    <row r="48" ht="23" customHeight="1">
      <c r="A48" s="2" t="str">
        <v>集团公司（本部）</v>
      </c>
      <c r="B48" s="2" t="str">
        <v>202510</v>
      </c>
      <c r="C48" s="7" t="n">
        <v>26565.22</v>
      </c>
      <c r="D48" s="7" t="n">
        <v>26758.74</v>
      </c>
      <c r="E48" s="7" t="n">
        <v>14810.4</v>
      </c>
      <c r="F48" s="7" t="n">
        <v>11792.57</v>
      </c>
      <c r="G48" s="7" t="n">
        <v>11948.34</v>
      </c>
      <c r="H48" s="7" t="n">
        <v>10500</v>
      </c>
      <c r="I48" s="7" t="n">
        <v>155.77</v>
      </c>
      <c r="J48" s="7" t="n">
        <v>1448.34</v>
      </c>
      <c r="K48" s="7" t="n">
        <v>0</v>
      </c>
      <c r="L48" s="3" t="n">
        <f>ROUND(E48/D48*100,2)</f>
        <v>55.35</v>
      </c>
      <c r="M48" s="3" t="n">
        <f>ROUND(J48/AVERAGE(H48,G48)*100,2)</f>
        <v>12.9</v>
      </c>
      <c r="N48" s="3" t="n">
        <f>ROUND(I48/AVERAGE(F48,G48)*100,2)</f>
        <v>1.31</v>
      </c>
      <c r="O48" s="7" t="n">
        <f>ROUND(D48-E48-G48,2)</f>
        <v>0</v>
      </c>
      <c r="P48" s="7" t="n">
        <f>ROUND(G48-F48-I48+K48,2)</f>
        <v>0</v>
      </c>
    </row>
    <row r="49" ht="23" customHeight="1">
      <c r="A49" s="2" t="str">
        <v>子公司A</v>
      </c>
      <c r="B49" s="2" t="str">
        <v>202510</v>
      </c>
      <c r="C49" s="7" t="n">
        <v>14022.19</v>
      </c>
      <c r="D49" s="7" t="n">
        <v>14147.46</v>
      </c>
      <c r="E49" s="7" t="n">
        <v>8233.71</v>
      </c>
      <c r="F49" s="7" t="n">
        <v>5799.73</v>
      </c>
      <c r="G49" s="7" t="n">
        <v>5913.75</v>
      </c>
      <c r="H49" s="7" t="n">
        <v>4940</v>
      </c>
      <c r="I49" s="7" t="n">
        <v>114.02</v>
      </c>
      <c r="J49" s="7" t="n">
        <v>973.75</v>
      </c>
      <c r="K49" s="7" t="n">
        <v>0</v>
      </c>
      <c r="L49" s="3" t="n">
        <f>ROUND(E49/D49*100,2)</f>
        <v>58.2</v>
      </c>
      <c r="M49" s="3" t="n">
        <f>ROUND(J49/AVERAGE(H49,G49)*100,2)</f>
        <v>17.94</v>
      </c>
      <c r="N49" s="3" t="n">
        <f>ROUND(I49/AVERAGE(F49,G49)*100,2)</f>
        <v>1.95</v>
      </c>
      <c r="O49" s="7" t="n">
        <f>ROUND(D49-E49-G49,2)</f>
        <v>0</v>
      </c>
      <c r="P49" s="7" t="n">
        <f>ROUND(G49-F49-I49+K49,2)</f>
        <v>0</v>
      </c>
    </row>
    <row r="50" ht="23" customHeight="1">
      <c r="A50" s="2" t="str">
        <v>子公司B</v>
      </c>
      <c r="B50" s="2" t="str">
        <v>202510</v>
      </c>
      <c r="C50" s="7" t="n">
        <v>10408.01</v>
      </c>
      <c r="D50" s="7" t="n">
        <v>10516.39</v>
      </c>
      <c r="E50" s="7" t="n">
        <v>5351.12</v>
      </c>
      <c r="F50" s="7" t="n">
        <v>5061.69</v>
      </c>
      <c r="G50" s="7" t="n">
        <v>5165.27</v>
      </c>
      <c r="H50" s="7" t="n">
        <v>4275</v>
      </c>
      <c r="I50" s="7" t="n">
        <v>103.58</v>
      </c>
      <c r="J50" s="7" t="n">
        <v>890.27</v>
      </c>
      <c r="K50" s="7" t="n">
        <v>0</v>
      </c>
      <c r="L50" s="3" t="n">
        <f>ROUND(E50/D50*100,2)</f>
        <v>50.88</v>
      </c>
      <c r="M50" s="3" t="n">
        <f>ROUND(J50/AVERAGE(H50,G50)*100,2)</f>
        <v>18.86</v>
      </c>
      <c r="N50" s="3" t="n">
        <f>ROUND(I50/AVERAGE(F50,G50)*100,2)</f>
        <v>2.03</v>
      </c>
      <c r="O50" s="7" t="n">
        <f>ROUND(D50-E50-G50,2)</f>
        <v>0</v>
      </c>
      <c r="P50" s="7" t="n">
        <f>ROUND(G50-F50-I50+K50,2)</f>
        <v>0</v>
      </c>
    </row>
    <row r="51" ht="23" customHeight="1">
      <c r="A51" s="2" t="str">
        <v>子公司C</v>
      </c>
      <c r="B51" s="2" t="str">
        <v>202510</v>
      </c>
      <c r="C51" s="7" t="n">
        <v>7755.99</v>
      </c>
      <c r="D51" s="7" t="n">
        <v>7844.33</v>
      </c>
      <c r="E51" s="7" t="n">
        <v>3449.78</v>
      </c>
      <c r="F51" s="7" t="n">
        <v>4313.24</v>
      </c>
      <c r="G51" s="7" t="n">
        <v>4394.55</v>
      </c>
      <c r="H51" s="7" t="n">
        <v>3640</v>
      </c>
      <c r="I51" s="7" t="n">
        <v>81.31</v>
      </c>
      <c r="J51" s="7" t="n">
        <v>754.55</v>
      </c>
      <c r="K51" s="7" t="n">
        <v>0</v>
      </c>
      <c r="L51" s="3" t="n">
        <f>ROUND(E51/D51*100,2)</f>
        <v>43.98</v>
      </c>
      <c r="M51" s="3" t="n">
        <f>ROUND(J51/AVERAGE(H51,G51)*100,2)</f>
        <v>18.78</v>
      </c>
      <c r="N51" s="3" t="n">
        <f>ROUND(I51/AVERAGE(F51,G51)*100,2)</f>
        <v>1.87</v>
      </c>
      <c r="O51" s="7" t="n">
        <f>ROUND(D51-E51-G51,2)</f>
        <v>0</v>
      </c>
      <c r="P51" s="7" t="n">
        <f>ROUND(G51-F51-I51+K51,2)</f>
        <v>0</v>
      </c>
    </row>
    <row r="52" ht="23" customHeight="1">
      <c r="A52" s="2" t="str">
        <v>集团公司（合并）</v>
      </c>
      <c r="B52" s="2" t="str">
        <v>202511</v>
      </c>
      <c r="C52" s="7" t="n">
        <v>55781.21</v>
      </c>
      <c r="D52" s="7" t="n">
        <v>56281.85</v>
      </c>
      <c r="E52" s="7" t="n">
        <v>31157.96</v>
      </c>
      <c r="F52" s="7" t="n">
        <v>24658.69</v>
      </c>
      <c r="G52" s="7" t="n">
        <v>25123.89</v>
      </c>
      <c r="H52" s="7" t="n">
        <v>20855</v>
      </c>
      <c r="I52" s="7" t="n">
        <v>465.2</v>
      </c>
      <c r="J52" s="7" t="n">
        <v>4268.89</v>
      </c>
      <c r="K52" s="7" t="n">
        <v>0</v>
      </c>
      <c r="L52" s="3" t="n">
        <f>ROUND(E52/D52*100,2)</f>
        <v>55.36</v>
      </c>
      <c r="M52" s="3" t="n">
        <f>ROUND(J52/AVERAGE(H52,G52)*100,2)</f>
        <v>18.57</v>
      </c>
      <c r="N52" s="3" t="n">
        <f>ROUND(I52/AVERAGE(F52,G52)*100,2)</f>
        <v>1.87</v>
      </c>
      <c r="O52" s="7" t="n">
        <f>ROUND(D52-E52-G52,2)</f>
        <v>0</v>
      </c>
      <c r="P52" s="7" t="n">
        <f>ROUND(G52-F52-I52+K52,2)</f>
        <v>0</v>
      </c>
    </row>
    <row r="53" ht="23" customHeight="1">
      <c r="A53" s="2" t="str">
        <v>集团公司（本部）</v>
      </c>
      <c r="B53" s="2" t="str">
        <v>202511</v>
      </c>
      <c r="C53" s="7" t="n">
        <v>26758.74</v>
      </c>
      <c r="D53" s="7" t="n">
        <v>26963.48</v>
      </c>
      <c r="E53" s="7" t="n">
        <v>14831.17</v>
      </c>
      <c r="F53" s="7" t="n">
        <v>11948.34</v>
      </c>
      <c r="G53" s="7" t="n">
        <v>12132.31</v>
      </c>
      <c r="H53" s="7" t="n">
        <v>10500</v>
      </c>
      <c r="I53" s="7" t="n">
        <v>183.97</v>
      </c>
      <c r="J53" s="7" t="n">
        <v>1632.31</v>
      </c>
      <c r="K53" s="7" t="n">
        <v>0</v>
      </c>
      <c r="L53" s="3" t="n">
        <f>ROUND(E53/D53*100,2)</f>
        <v>55</v>
      </c>
      <c r="M53" s="3" t="n">
        <f>ROUND(J53/AVERAGE(H53,G53)*100,2)</f>
        <v>14.42</v>
      </c>
      <c r="N53" s="3" t="n">
        <f>ROUND(I53/AVERAGE(F53,G53)*100,2)</f>
        <v>1.53</v>
      </c>
      <c r="O53" s="7" t="n">
        <f>ROUND(D53-E53-G53,2)</f>
        <v>0</v>
      </c>
      <c r="P53" s="7" t="n">
        <f>ROUND(G53-F53-I53+K53,2)</f>
        <v>0</v>
      </c>
    </row>
    <row r="54" ht="23" customHeight="1">
      <c r="A54" s="2" t="str">
        <v>子公司A</v>
      </c>
      <c r="B54" s="2" t="str">
        <v>202511</v>
      </c>
      <c r="C54" s="7" t="n">
        <v>14147.46</v>
      </c>
      <c r="D54" s="7" t="n">
        <v>14278.45</v>
      </c>
      <c r="E54" s="7" t="n">
        <v>8240.06</v>
      </c>
      <c r="F54" s="7" t="n">
        <v>5913.75</v>
      </c>
      <c r="G54" s="7" t="n">
        <v>6038.39</v>
      </c>
      <c r="H54" s="7" t="n">
        <v>4940</v>
      </c>
      <c r="I54" s="7" t="n">
        <v>124.64</v>
      </c>
      <c r="J54" s="7" t="n">
        <v>1098.39</v>
      </c>
      <c r="K54" s="7" t="n">
        <v>0</v>
      </c>
      <c r="L54" s="3" t="n">
        <f>ROUND(E54/D54*100,2)</f>
        <v>57.71</v>
      </c>
      <c r="M54" s="3" t="n">
        <f>ROUND(J54/AVERAGE(H54,G54)*100,2)</f>
        <v>20.01</v>
      </c>
      <c r="N54" s="3" t="n">
        <f>ROUND(I54/AVERAGE(F54,G54)*100,2)</f>
        <v>2.09</v>
      </c>
      <c r="O54" s="7" t="n">
        <f>ROUND(D54-E54-G54,2)</f>
        <v>0</v>
      </c>
      <c r="P54" s="7" t="n">
        <f>ROUND(G54-F54-I54+K54,2)</f>
        <v>0</v>
      </c>
    </row>
    <row r="55" ht="23" customHeight="1">
      <c r="A55" s="2" t="str">
        <v>子公司B</v>
      </c>
      <c r="B55" s="2" t="str">
        <v>202511</v>
      </c>
      <c r="C55" s="7" t="n">
        <v>10516.39</v>
      </c>
      <c r="D55" s="7" t="n">
        <v>10631.67</v>
      </c>
      <c r="E55" s="7" t="n">
        <v>5360.94</v>
      </c>
      <c r="F55" s="7" t="n">
        <v>5165.27</v>
      </c>
      <c r="G55" s="7" t="n">
        <v>5270.73</v>
      </c>
      <c r="H55" s="7" t="n">
        <v>4275</v>
      </c>
      <c r="I55" s="7" t="n">
        <v>105.46</v>
      </c>
      <c r="J55" s="7" t="n">
        <v>995.73</v>
      </c>
      <c r="K55" s="7" t="n">
        <v>0</v>
      </c>
      <c r="L55" s="3" t="n">
        <f>ROUND(E55/D55*100,2)</f>
        <v>50.42</v>
      </c>
      <c r="M55" s="3" t="n">
        <f>ROUND(J55/AVERAGE(H55,G55)*100,2)</f>
        <v>20.86</v>
      </c>
      <c r="N55" s="3" t="n">
        <f>ROUND(I55/AVERAGE(F55,G55)*100,2)</f>
        <v>2.02</v>
      </c>
      <c r="O55" s="7" t="n">
        <f>ROUND(D55-E55-G55,2)</f>
        <v>0</v>
      </c>
      <c r="P55" s="7" t="n">
        <f>ROUND(G55-F55-I55+K55,2)</f>
        <v>0</v>
      </c>
    </row>
    <row r="56" ht="23" customHeight="1">
      <c r="A56" s="2" t="str">
        <v>子公司C</v>
      </c>
      <c r="B56" s="2" t="str">
        <v>202511</v>
      </c>
      <c r="C56" s="7" t="n">
        <v>7844.33</v>
      </c>
      <c r="D56" s="7" t="n">
        <v>7941.02</v>
      </c>
      <c r="E56" s="7" t="n">
        <v>3464.69</v>
      </c>
      <c r="F56" s="7" t="n">
        <v>4394.55</v>
      </c>
      <c r="G56" s="7" t="n">
        <v>4476.33</v>
      </c>
      <c r="H56" s="7" t="n">
        <v>3640</v>
      </c>
      <c r="I56" s="7" t="n">
        <v>81.78</v>
      </c>
      <c r="J56" s="7" t="n">
        <v>836.33</v>
      </c>
      <c r="K56" s="7" t="n">
        <v>0</v>
      </c>
      <c r="L56" s="3" t="n">
        <f>ROUND(E56/D56*100,2)</f>
        <v>43.63</v>
      </c>
      <c r="M56" s="3" t="n">
        <f>ROUND(J56/AVERAGE(H56,G56)*100,2)</f>
        <v>20.61</v>
      </c>
      <c r="N56" s="3" t="n">
        <f>ROUND(I56/AVERAGE(F56,G56)*100,2)</f>
        <v>1.84</v>
      </c>
      <c r="O56" s="7" t="n">
        <f>ROUND(D56-E56-G56,2)</f>
        <v>0</v>
      </c>
      <c r="P56" s="7" t="n">
        <f>ROUND(G56-F56-I56+K56,2)</f>
        <v>0</v>
      </c>
    </row>
    <row r="57" ht="23" customHeight="1">
      <c r="A57" s="2" t="str">
        <v>集团公司（合并）</v>
      </c>
      <c r="B57" s="2" t="str">
        <v>202512</v>
      </c>
      <c r="C57" s="7" t="n">
        <v>56281.85</v>
      </c>
      <c r="D57" s="7" t="n">
        <v>55719.41</v>
      </c>
      <c r="E57" s="7" t="n">
        <v>31209.89</v>
      </c>
      <c r="F57" s="7" t="n">
        <v>25123.89</v>
      </c>
      <c r="G57" s="7" t="n">
        <v>24509.52</v>
      </c>
      <c r="H57" s="7" t="n">
        <v>20855</v>
      </c>
      <c r="I57" s="7" t="n">
        <v>541.97</v>
      </c>
      <c r="J57" s="7" t="n">
        <v>4810.86</v>
      </c>
      <c r="K57" s="7" t="n">
        <v>1156.34</v>
      </c>
      <c r="L57" s="3" t="n">
        <f>ROUND(E57/D57*100,2)</f>
        <v>56.01</v>
      </c>
      <c r="M57" s="3" t="n">
        <f>ROUND(J57/AVERAGE(H57,G57)*100,2)</f>
        <v>21.21</v>
      </c>
      <c r="N57" s="3" t="n">
        <f>ROUND(I57/AVERAGE(F57,G57)*100,2)</f>
        <v>2.18</v>
      </c>
      <c r="O57" s="7" t="n">
        <f>ROUND(D57-E57-G57,2)</f>
        <v>0</v>
      </c>
      <c r="P57" s="7" t="n">
        <f>ROUND(G57-F57-I57+K57,2)</f>
        <v>0</v>
      </c>
    </row>
    <row r="58" ht="23" customHeight="1">
      <c r="A58" s="2" t="str">
        <v>集团公司（本部）</v>
      </c>
      <c r="B58" s="2" t="str">
        <v>202512</v>
      </c>
      <c r="C58" s="7" t="n">
        <v>26963.48</v>
      </c>
      <c r="D58" s="7" t="n">
        <v>26751.49</v>
      </c>
      <c r="E58" s="7" t="n">
        <v>14844</v>
      </c>
      <c r="F58" s="7" t="n">
        <v>12132.31</v>
      </c>
      <c r="G58" s="7" t="n">
        <v>11907.49</v>
      </c>
      <c r="H58" s="7" t="n">
        <v>10500</v>
      </c>
      <c r="I58" s="7" t="n">
        <v>224.82</v>
      </c>
      <c r="J58" s="7" t="n">
        <v>1857.13</v>
      </c>
      <c r="K58" s="7" t="n">
        <v>449.64</v>
      </c>
      <c r="L58" s="3" t="n">
        <f>ROUND(E58/D58*100,2)</f>
        <v>55.49</v>
      </c>
      <c r="M58" s="3" t="n">
        <f>ROUND(J58/AVERAGE(H58,G58)*100,2)</f>
        <v>16.58</v>
      </c>
      <c r="N58" s="3" t="n">
        <f>ROUND(I58/AVERAGE(F58,G58)*100,2)</f>
        <v>1.87</v>
      </c>
      <c r="O58" s="7" t="n">
        <f>ROUND(D58-E58-G58,2)</f>
        <v>0</v>
      </c>
      <c r="P58" s="7" t="n">
        <f>ROUND(G58-F58-I58+K58,2)</f>
        <v>0</v>
      </c>
    </row>
    <row r="59" ht="23" customHeight="1">
      <c r="A59" s="2" t="str">
        <v>子公司A</v>
      </c>
      <c r="B59" s="2" t="str">
        <v>202512</v>
      </c>
      <c r="C59" s="7" t="n">
        <v>14278.45</v>
      </c>
      <c r="D59" s="7" t="n">
        <v>14151.48</v>
      </c>
      <c r="E59" s="7" t="n">
        <v>8254.35</v>
      </c>
      <c r="F59" s="7" t="n">
        <v>6038.39</v>
      </c>
      <c r="G59" s="7" t="n">
        <v>5897.13</v>
      </c>
      <c r="H59" s="7" t="n">
        <v>4940</v>
      </c>
      <c r="I59" s="7" t="n">
        <v>141.26</v>
      </c>
      <c r="J59" s="7" t="n">
        <v>1239.65</v>
      </c>
      <c r="K59" s="7" t="n">
        <v>282.52</v>
      </c>
      <c r="L59" s="3" t="n">
        <f>ROUND(E59/D59*100,2)</f>
        <v>58.33</v>
      </c>
      <c r="M59" s="3" t="n">
        <f>ROUND(J59/AVERAGE(H59,G59)*100,2)</f>
        <v>22.88</v>
      </c>
      <c r="N59" s="3" t="n">
        <f>ROUND(I59/AVERAGE(F59,G59)*100,2)</f>
        <v>2.37</v>
      </c>
      <c r="O59" s="7" t="n">
        <f>ROUND(D59-E59-G59,2)</f>
        <v>0</v>
      </c>
      <c r="P59" s="7" t="n">
        <f>ROUND(G59-F59-I59+K59,2)</f>
        <v>0</v>
      </c>
    </row>
    <row r="60" ht="23" customHeight="1">
      <c r="A60" s="2" t="str">
        <v>子公司B</v>
      </c>
      <c r="B60" s="2" t="str">
        <v>202512</v>
      </c>
      <c r="C60" s="7" t="n">
        <v>10631.67</v>
      </c>
      <c r="D60" s="7" t="n">
        <v>10537.74</v>
      </c>
      <c r="E60" s="7" t="n">
        <v>5384.03</v>
      </c>
      <c r="F60" s="7" t="n">
        <v>5270.73</v>
      </c>
      <c r="G60" s="7" t="n">
        <v>5153.71</v>
      </c>
      <c r="H60" s="7" t="n">
        <v>4275</v>
      </c>
      <c r="I60" s="7" t="n">
        <v>117.02</v>
      </c>
      <c r="J60" s="7" t="n">
        <v>1112.75</v>
      </c>
      <c r="K60" s="7" t="n">
        <v>234.04</v>
      </c>
      <c r="L60" s="3" t="n">
        <f>ROUND(E60/D60*100,2)</f>
        <v>51.09</v>
      </c>
      <c r="M60" s="3" t="n">
        <f>ROUND(J60/AVERAGE(H60,G60)*100,2)</f>
        <v>23.6</v>
      </c>
      <c r="N60" s="3" t="n">
        <f>ROUND(I60/AVERAGE(F60,G60)*100,2)</f>
        <v>2.25</v>
      </c>
      <c r="O60" s="7" t="n">
        <f>ROUND(D60-E60-G60,2)</f>
        <v>0</v>
      </c>
      <c r="P60" s="7" t="n">
        <f>ROUND(G60-F60-I60+K60,2)</f>
        <v>0</v>
      </c>
    </row>
    <row r="61" ht="23" customHeight="1">
      <c r="A61" s="2" t="str">
        <v>子公司C</v>
      </c>
      <c r="B61" s="2" t="str">
        <v>202512</v>
      </c>
      <c r="C61" s="7" t="n">
        <v>7941.02</v>
      </c>
      <c r="D61" s="7" t="n">
        <v>7869.25</v>
      </c>
      <c r="E61" s="7" t="n">
        <v>3487.99</v>
      </c>
      <c r="F61" s="7" t="n">
        <v>4476.33</v>
      </c>
      <c r="G61" s="7" t="n">
        <v>4381.26</v>
      </c>
      <c r="H61" s="7" t="n">
        <v>3640</v>
      </c>
      <c r="I61" s="7" t="n">
        <v>95.07</v>
      </c>
      <c r="J61" s="7" t="n">
        <v>931.4</v>
      </c>
      <c r="K61" s="7" t="n">
        <v>190.14</v>
      </c>
      <c r="L61" s="3" t="n">
        <f>ROUND(E61/D61*100,2)</f>
        <v>44.32</v>
      </c>
      <c r="M61" s="3" t="n">
        <f>ROUND(J61/AVERAGE(H61,G61)*100,2)</f>
        <v>23.22</v>
      </c>
      <c r="N61" s="3" t="n">
        <f>ROUND(I61/AVERAGE(F61,G61)*100,2)</f>
        <v>2.15</v>
      </c>
      <c r="O61" s="7" t="n">
        <f>ROUND(D61-E61-G61,2)</f>
        <v>0</v>
      </c>
      <c r="P61" s="7" t="n">
        <f>ROUND(G61-F61-I61+K61,2)</f>
        <v>0</v>
      </c>
    </row>
    <row r="62" ht="23" customHeight="1">
      <c r="A62" s="2" t="str">
        <v>集团公司（合并）</v>
      </c>
      <c r="B62" s="2" t="str">
        <v>202601</v>
      </c>
      <c r="C62" s="7" t="n">
        <v>55719.41</v>
      </c>
      <c r="D62" s="7" t="n">
        <v>56078.15</v>
      </c>
      <c r="E62" s="7" t="n">
        <v>31247.95</v>
      </c>
      <c r="F62" s="7" t="n">
        <v>24509.52</v>
      </c>
      <c r="G62" s="7" t="n">
        <v>24830.2</v>
      </c>
      <c r="H62" s="7" t="n">
        <v>24509.52</v>
      </c>
      <c r="I62" s="7" t="n">
        <v>320.68</v>
      </c>
      <c r="J62" s="7" t="n">
        <v>320.68</v>
      </c>
      <c r="K62" s="7" t="n">
        <v>0</v>
      </c>
      <c r="L62" s="3" t="n">
        <f>ROUND(E62/D62*100,2)</f>
        <v>55.72</v>
      </c>
      <c r="M62" s="3" t="n">
        <f>ROUND(J62/AVERAGE(H62,G62)*100,2)</f>
        <v>1.3</v>
      </c>
      <c r="N62" s="3" t="n">
        <f>ROUND(I62/AVERAGE(F62,G62)*100,2)</f>
        <v>1.3</v>
      </c>
      <c r="O62" s="7" t="n">
        <f>ROUND(D62-E62-G62,2)</f>
        <v>0</v>
      </c>
      <c r="P62" s="7" t="n">
        <f>ROUND(G62-F62-I62+K62,2)</f>
        <v>0</v>
      </c>
    </row>
    <row r="63" ht="23" customHeight="1">
      <c r="A63" s="2" t="str">
        <v>集团公司（本部）</v>
      </c>
      <c r="B63" s="2" t="str">
        <v>202601</v>
      </c>
      <c r="C63" s="7" t="n">
        <v>26751.49</v>
      </c>
      <c r="D63" s="7" t="n">
        <v>26899.39</v>
      </c>
      <c r="E63" s="7" t="n">
        <v>14858.83</v>
      </c>
      <c r="F63" s="7" t="n">
        <v>11907.49</v>
      </c>
      <c r="G63" s="7" t="n">
        <v>12040.56</v>
      </c>
      <c r="H63" s="7" t="n">
        <v>11907.49</v>
      </c>
      <c r="I63" s="7" t="n">
        <v>133.07</v>
      </c>
      <c r="J63" s="7" t="n">
        <v>133.07</v>
      </c>
      <c r="K63" s="7" t="n">
        <v>0</v>
      </c>
      <c r="L63" s="3" t="n">
        <f>ROUND(E63/D63*100,2)</f>
        <v>55.24</v>
      </c>
      <c r="M63" s="3" t="n">
        <f>ROUND(J63/AVERAGE(H63,G63)*100,2)</f>
        <v>1.11</v>
      </c>
      <c r="N63" s="3" t="n">
        <f>ROUND(I63/AVERAGE(F63,G63)*100,2)</f>
        <v>1.11</v>
      </c>
      <c r="O63" s="7" t="n">
        <f>ROUND(D63-E63-G63,2)</f>
        <v>0</v>
      </c>
      <c r="P63" s="7" t="n">
        <f>ROUND(G63-F63-I63+K63,2)</f>
        <v>0</v>
      </c>
    </row>
    <row r="64" ht="23" customHeight="1">
      <c r="A64" s="2" t="str">
        <v>子公司A</v>
      </c>
      <c r="B64" s="2" t="str">
        <v>202601</v>
      </c>
      <c r="C64" s="7" t="n">
        <v>14151.48</v>
      </c>
      <c r="D64" s="7" t="n">
        <v>14249.83</v>
      </c>
      <c r="E64" s="7" t="n">
        <v>8271.73</v>
      </c>
      <c r="F64" s="7" t="n">
        <v>5897.13</v>
      </c>
      <c r="G64" s="7" t="n">
        <v>5978.1</v>
      </c>
      <c r="H64" s="7" t="n">
        <v>5897.13</v>
      </c>
      <c r="I64" s="7" t="n">
        <v>80.97</v>
      </c>
      <c r="J64" s="7" t="n">
        <v>80.97</v>
      </c>
      <c r="K64" s="7" t="n">
        <v>0</v>
      </c>
      <c r="L64" s="3" t="n">
        <f>ROUND(E64/D64*100,2)</f>
        <v>58.05</v>
      </c>
      <c r="M64" s="3" t="n">
        <f>ROUND(J64/AVERAGE(H64,G64)*100,2)</f>
        <v>1.36</v>
      </c>
      <c r="N64" s="3" t="n">
        <f>ROUND(I64/AVERAGE(F64,G64)*100,2)</f>
        <v>1.36</v>
      </c>
      <c r="O64" s="7" t="n">
        <f>ROUND(D64-E64-G64,2)</f>
        <v>0</v>
      </c>
      <c r="P64" s="7" t="n">
        <f>ROUND(G64-F64-I64+K64,2)</f>
        <v>0</v>
      </c>
    </row>
    <row r="65" ht="23" customHeight="1">
      <c r="A65" s="2" t="str">
        <v>子公司B</v>
      </c>
      <c r="B65" s="2" t="str">
        <v>202601</v>
      </c>
      <c r="C65" s="7" t="n">
        <v>10537.74</v>
      </c>
      <c r="D65" s="7" t="n">
        <v>10625.46</v>
      </c>
      <c r="E65" s="7" t="n">
        <v>5402.67</v>
      </c>
      <c r="F65" s="7" t="n">
        <v>5153.71</v>
      </c>
      <c r="G65" s="7" t="n">
        <v>5222.79</v>
      </c>
      <c r="H65" s="7" t="n">
        <v>5153.71</v>
      </c>
      <c r="I65" s="7" t="n">
        <v>69.08</v>
      </c>
      <c r="J65" s="7" t="n">
        <v>69.08</v>
      </c>
      <c r="K65" s="7" t="n">
        <v>0</v>
      </c>
      <c r="L65" s="3" t="n">
        <f>ROUND(E65/D65*100,2)</f>
        <v>50.85</v>
      </c>
      <c r="M65" s="3" t="n">
        <f>ROUND(J65/AVERAGE(H65,G65)*100,2)</f>
        <v>1.33</v>
      </c>
      <c r="N65" s="3" t="n">
        <f>ROUND(I65/AVERAGE(F65,G65)*100,2)</f>
        <v>1.33</v>
      </c>
      <c r="O65" s="7" t="n">
        <f>ROUND(D65-E65-G65,2)</f>
        <v>0</v>
      </c>
      <c r="P65" s="7" t="n">
        <f>ROUND(G65-F65-I65+K65,2)</f>
        <v>0</v>
      </c>
    </row>
    <row r="66" ht="23" customHeight="1">
      <c r="A66" s="2" t="str">
        <v>子公司C</v>
      </c>
      <c r="B66" s="2" t="str">
        <v>202601</v>
      </c>
      <c r="C66" s="7" t="n">
        <v>7869.25</v>
      </c>
      <c r="D66" s="7" t="n">
        <v>7941.49</v>
      </c>
      <c r="E66" s="7" t="n">
        <v>3500.57</v>
      </c>
      <c r="F66" s="7" t="n">
        <v>4381.26</v>
      </c>
      <c r="G66" s="7" t="n">
        <v>4440.92</v>
      </c>
      <c r="H66" s="7" t="n">
        <v>4381.26</v>
      </c>
      <c r="I66" s="7" t="n">
        <v>59.66</v>
      </c>
      <c r="J66" s="7" t="n">
        <v>59.66</v>
      </c>
      <c r="K66" s="7" t="n">
        <v>0</v>
      </c>
      <c r="L66" s="3" t="n">
        <f>ROUND(E66/D66*100,2)</f>
        <v>44.08</v>
      </c>
      <c r="M66" s="3" t="n">
        <f>ROUND(J66/AVERAGE(H66,G66)*100,2)</f>
        <v>1.35</v>
      </c>
      <c r="N66" s="3" t="n">
        <f>ROUND(I66/AVERAGE(F66,G66)*100,2)</f>
        <v>1.35</v>
      </c>
      <c r="O66" s="7" t="n">
        <f>ROUND(D66-E66-G66,2)</f>
        <v>0</v>
      </c>
      <c r="P66" s="7" t="n">
        <f>ROUND(G66-F66-I66+K66,2)</f>
        <v>0</v>
      </c>
    </row>
    <row r="67" ht="23" customHeight="1">
      <c r="A67" s="2" t="str">
        <v>集团公司（合并）</v>
      </c>
      <c r="B67" s="2" t="str">
        <v>202602</v>
      </c>
      <c r="C67" s="7" t="n">
        <v>56078.15</v>
      </c>
      <c r="D67" s="7" t="n">
        <v>56422.67</v>
      </c>
      <c r="E67" s="7" t="n">
        <v>31293.88</v>
      </c>
      <c r="F67" s="7" t="n">
        <v>24830.2</v>
      </c>
      <c r="G67" s="7" t="n">
        <v>25128.79</v>
      </c>
      <c r="H67" s="7" t="n">
        <v>24509.52</v>
      </c>
      <c r="I67" s="7" t="n">
        <v>298.59</v>
      </c>
      <c r="J67" s="7" t="n">
        <v>619.27</v>
      </c>
      <c r="K67" s="7" t="n">
        <v>0</v>
      </c>
      <c r="L67" s="3" t="n">
        <f>ROUND(E67/D67*100,2)</f>
        <v>55.46</v>
      </c>
      <c r="M67" s="3" t="n">
        <f>ROUND(J67/AVERAGE(H67,G67)*100,2)</f>
        <v>2.5</v>
      </c>
      <c r="N67" s="3" t="n">
        <f>ROUND(I67/AVERAGE(F67,G67)*100,2)</f>
        <v>1.2</v>
      </c>
      <c r="O67" s="7" t="n">
        <f>ROUND(D67-E67-G67,2)</f>
        <v>0</v>
      </c>
      <c r="P67" s="7" t="n">
        <f>ROUND(G67-F67-I67+K67,2)</f>
        <v>0</v>
      </c>
    </row>
    <row r="68" ht="23" customHeight="1">
      <c r="A68" s="2" t="str">
        <v>集团公司（本部）</v>
      </c>
      <c r="B68" s="2" t="str">
        <v>202602</v>
      </c>
      <c r="C68" s="7" t="n">
        <v>26899.39</v>
      </c>
      <c r="D68" s="7" t="n">
        <v>27048.48</v>
      </c>
      <c r="E68" s="7" t="n">
        <v>14887.22</v>
      </c>
      <c r="F68" s="7" t="n">
        <v>12040.56</v>
      </c>
      <c r="G68" s="7" t="n">
        <v>12161.26</v>
      </c>
      <c r="H68" s="7" t="n">
        <v>11907.49</v>
      </c>
      <c r="I68" s="7" t="n">
        <v>120.7</v>
      </c>
      <c r="J68" s="7" t="n">
        <v>253.77</v>
      </c>
      <c r="K68" s="7" t="n">
        <v>0</v>
      </c>
      <c r="L68" s="3" t="n">
        <f>ROUND(E68/D68*100,2)</f>
        <v>55.04</v>
      </c>
      <c r="M68" s="3" t="n">
        <f>ROUND(J68/AVERAGE(H68,G68)*100,2)</f>
        <v>2.11</v>
      </c>
      <c r="N68" s="3" t="n">
        <f>ROUND(I68/AVERAGE(F68,G68)*100,2)</f>
        <v>1</v>
      </c>
      <c r="O68" s="7" t="n">
        <f>ROUND(D68-E68-G68,2)</f>
        <v>0</v>
      </c>
      <c r="P68" s="7" t="n">
        <f>ROUND(G68-F68-I68+K68,2)</f>
        <v>0</v>
      </c>
    </row>
    <row r="69" ht="23" customHeight="1">
      <c r="A69" s="2" t="str">
        <v>子公司A</v>
      </c>
      <c r="B69" s="2" t="str">
        <v>202602</v>
      </c>
      <c r="C69" s="7" t="n">
        <v>14249.83</v>
      </c>
      <c r="D69" s="7" t="n">
        <v>14345.68</v>
      </c>
      <c r="E69" s="7" t="n">
        <v>8293.73</v>
      </c>
      <c r="F69" s="7" t="n">
        <v>5978.1</v>
      </c>
      <c r="G69" s="7" t="n">
        <v>6051.95</v>
      </c>
      <c r="H69" s="7" t="n">
        <v>5897.13</v>
      </c>
      <c r="I69" s="7" t="n">
        <v>73.85</v>
      </c>
      <c r="J69" s="7" t="n">
        <v>154.82</v>
      </c>
      <c r="K69" s="7" t="n">
        <v>0</v>
      </c>
      <c r="L69" s="3" t="n">
        <f>ROUND(E69/D69*100,2)</f>
        <v>57.81</v>
      </c>
      <c r="M69" s="3" t="n">
        <f>ROUND(J69/AVERAGE(H69,G69)*100,2)</f>
        <v>2.59</v>
      </c>
      <c r="N69" s="3" t="n">
        <f>ROUND(I69/AVERAGE(F69,G69)*100,2)</f>
        <v>1.23</v>
      </c>
      <c r="O69" s="7" t="n">
        <f>ROUND(D69-E69-G69,2)</f>
        <v>0</v>
      </c>
      <c r="P69" s="7" t="n">
        <f>ROUND(G69-F69-I69+K69,2)</f>
        <v>0</v>
      </c>
    </row>
    <row r="70" ht="23" customHeight="1">
      <c r="A70" s="2" t="str">
        <v>子公司B</v>
      </c>
      <c r="B70" s="2" t="str">
        <v>202602</v>
      </c>
      <c r="C70" s="7" t="n">
        <v>10625.46</v>
      </c>
      <c r="D70" s="7" t="n">
        <v>10707.2</v>
      </c>
      <c r="E70" s="7" t="n">
        <v>5418.32</v>
      </c>
      <c r="F70" s="7" t="n">
        <v>5222.79</v>
      </c>
      <c r="G70" s="7" t="n">
        <v>5288.88</v>
      </c>
      <c r="H70" s="7" t="n">
        <v>5153.71</v>
      </c>
      <c r="I70" s="7" t="n">
        <v>66.09</v>
      </c>
      <c r="J70" s="7" t="n">
        <v>135.17</v>
      </c>
      <c r="K70" s="7" t="n">
        <v>0</v>
      </c>
      <c r="L70" s="3" t="n">
        <f>ROUND(E70/D70*100,2)</f>
        <v>50.6</v>
      </c>
      <c r="M70" s="3" t="n">
        <f>ROUND(J70/AVERAGE(H70,G70)*100,2)</f>
        <v>2.59</v>
      </c>
      <c r="N70" s="3" t="n">
        <f>ROUND(I70/AVERAGE(F70,G70)*100,2)</f>
        <v>1.26</v>
      </c>
      <c r="O70" s="7" t="n">
        <f>ROUND(D70-E70-G70,2)</f>
        <v>0</v>
      </c>
      <c r="P70" s="7" t="n">
        <f>ROUND(G70-F70-I70+K70,2)</f>
        <v>0</v>
      </c>
    </row>
    <row r="71" ht="23" customHeight="1">
      <c r="A71" s="2" t="str">
        <v>子公司C</v>
      </c>
      <c r="B71" s="2" t="str">
        <v>202602</v>
      </c>
      <c r="C71" s="7" t="n">
        <v>7941.49</v>
      </c>
      <c r="D71" s="7" t="n">
        <v>8007.55</v>
      </c>
      <c r="E71" s="7" t="n">
        <v>3507.34</v>
      </c>
      <c r="F71" s="7" t="n">
        <v>4440.92</v>
      </c>
      <c r="G71" s="7" t="n">
        <v>4500.21</v>
      </c>
      <c r="H71" s="7" t="n">
        <v>4381.26</v>
      </c>
      <c r="I71" s="7" t="n">
        <v>59.29</v>
      </c>
      <c r="J71" s="7" t="n">
        <v>118.95</v>
      </c>
      <c r="K71" s="7" t="n">
        <v>0</v>
      </c>
      <c r="L71" s="3" t="n">
        <f>ROUND(E71/D71*100,2)</f>
        <v>43.8</v>
      </c>
      <c r="M71" s="3" t="n">
        <f>ROUND(J71/AVERAGE(H71,G71)*100,2)</f>
        <v>2.68</v>
      </c>
      <c r="N71" s="3" t="n">
        <f>ROUND(I71/AVERAGE(F71,G71)*100,2)</f>
        <v>1.33</v>
      </c>
      <c r="O71" s="7" t="n">
        <f>ROUND(D71-E71-G71,2)</f>
        <v>0</v>
      </c>
      <c r="P71" s="7" t="n">
        <f>ROUND(G71-F71-I71+K71,2)</f>
        <v>0</v>
      </c>
    </row>
    <row r="72" ht="23" customHeight="1">
      <c r="A72" s="2" t="str">
        <v>集团公司（合并）</v>
      </c>
      <c r="B72" s="2" t="str">
        <v>202603</v>
      </c>
      <c r="C72" s="7" t="n">
        <v>56422.67</v>
      </c>
      <c r="D72" s="7" t="n">
        <v>56906.96</v>
      </c>
      <c r="E72" s="7" t="n">
        <v>31364.79</v>
      </c>
      <c r="F72" s="7" t="n">
        <v>25128.79</v>
      </c>
      <c r="G72" s="7" t="n">
        <v>25542.17</v>
      </c>
      <c r="H72" s="7" t="n">
        <v>24509.52</v>
      </c>
      <c r="I72" s="7" t="n">
        <v>413.38</v>
      </c>
      <c r="J72" s="7" t="n">
        <v>1032.65</v>
      </c>
      <c r="K72" s="7" t="n">
        <v>0</v>
      </c>
      <c r="L72" s="3" t="n">
        <f>ROUND(E72/D72*100,2)</f>
        <v>55.12</v>
      </c>
      <c r="M72" s="3" t="n">
        <f>ROUND(J72/AVERAGE(H72,G72)*100,2)</f>
        <v>4.13</v>
      </c>
      <c r="N72" s="3" t="n">
        <f>ROUND(I72/AVERAGE(F72,G72)*100,2)</f>
        <v>1.63</v>
      </c>
      <c r="O72" s="7" t="n">
        <f>ROUND(D72-E72-G72,2)</f>
        <v>0</v>
      </c>
      <c r="P72" s="7" t="n">
        <f>ROUND(G72-F72-I72+K72,2)</f>
        <v>0</v>
      </c>
    </row>
    <row r="73" ht="23" customHeight="1">
      <c r="A73" s="2" t="str">
        <v>集团公司（本部）</v>
      </c>
      <c r="B73" s="2" t="str">
        <v>202603</v>
      </c>
      <c r="C73" s="7" t="n">
        <v>27048.48</v>
      </c>
      <c r="D73" s="7" t="n">
        <v>27262.42</v>
      </c>
      <c r="E73" s="7" t="n">
        <v>14940.31</v>
      </c>
      <c r="F73" s="7" t="n">
        <v>12161.26</v>
      </c>
      <c r="G73" s="7" t="n">
        <v>12322.11</v>
      </c>
      <c r="H73" s="7" t="n">
        <v>11907.49</v>
      </c>
      <c r="I73" s="7" t="n">
        <v>160.85</v>
      </c>
      <c r="J73" s="7" t="n">
        <v>414.62</v>
      </c>
      <c r="K73" s="7" t="n">
        <v>0</v>
      </c>
      <c r="L73" s="3" t="n">
        <f>ROUND(E73/D73*100,2)</f>
        <v>54.8</v>
      </c>
      <c r="M73" s="3" t="n">
        <f>ROUND(J73/AVERAGE(H73,G73)*100,2)</f>
        <v>3.42</v>
      </c>
      <c r="N73" s="3" t="n">
        <f>ROUND(I73/AVERAGE(F73,G73)*100,2)</f>
        <v>1.31</v>
      </c>
      <c r="O73" s="7" t="n">
        <f>ROUND(D73-E73-G73,2)</f>
        <v>0</v>
      </c>
      <c r="P73" s="7" t="n">
        <f>ROUND(G73-F73-I73+K73,2)</f>
        <v>0</v>
      </c>
    </row>
    <row r="74" ht="23" customHeight="1">
      <c r="A74" s="2" t="str">
        <v>子公司A</v>
      </c>
      <c r="B74" s="2" t="str">
        <v>202603</v>
      </c>
      <c r="C74" s="7" t="n">
        <v>14345.68</v>
      </c>
      <c r="D74" s="7" t="n">
        <v>14474.01</v>
      </c>
      <c r="E74" s="7" t="n">
        <v>8320.8</v>
      </c>
      <c r="F74" s="7" t="n">
        <v>6051.95</v>
      </c>
      <c r="G74" s="7" t="n">
        <v>6153.21</v>
      </c>
      <c r="H74" s="7" t="n">
        <v>5897.13</v>
      </c>
      <c r="I74" s="7" t="n">
        <v>101.26</v>
      </c>
      <c r="J74" s="7" t="n">
        <v>256.08</v>
      </c>
      <c r="K74" s="7" t="n">
        <v>0</v>
      </c>
      <c r="L74" s="3" t="n">
        <f>ROUND(E74/D74*100,2)</f>
        <v>57.49</v>
      </c>
      <c r="M74" s="3" t="n">
        <f>ROUND(J74/AVERAGE(H74,G74)*100,2)</f>
        <v>4.25</v>
      </c>
      <c r="N74" s="3" t="n">
        <f>ROUND(I74/AVERAGE(F74,G74)*100,2)</f>
        <v>1.66</v>
      </c>
      <c r="O74" s="7" t="n">
        <f>ROUND(D74-E74-G74,2)</f>
        <v>0</v>
      </c>
      <c r="P74" s="7" t="n">
        <f>ROUND(G74-F74-I74+K74,2)</f>
        <v>0</v>
      </c>
    </row>
    <row r="75" ht="23" customHeight="1">
      <c r="A75" s="2" t="str">
        <v>子公司B</v>
      </c>
      <c r="B75" s="2" t="str">
        <v>202603</v>
      </c>
      <c r="C75" s="7" t="n">
        <v>10707.2</v>
      </c>
      <c r="D75" s="7" t="n">
        <v>10814.55</v>
      </c>
      <c r="E75" s="7" t="n">
        <v>5430.64</v>
      </c>
      <c r="F75" s="7" t="n">
        <v>5288.88</v>
      </c>
      <c r="G75" s="7" t="n">
        <v>5383.91</v>
      </c>
      <c r="H75" s="7" t="n">
        <v>5153.71</v>
      </c>
      <c r="I75" s="7" t="n">
        <v>95.03</v>
      </c>
      <c r="J75" s="7" t="n">
        <v>230.2</v>
      </c>
      <c r="K75" s="7" t="n">
        <v>0</v>
      </c>
      <c r="L75" s="3" t="n">
        <f>ROUND(E75/D75*100,2)</f>
        <v>50.22</v>
      </c>
      <c r="M75" s="3" t="n">
        <f>ROUND(J75/AVERAGE(H75,G75)*100,2)</f>
        <v>4.37</v>
      </c>
      <c r="N75" s="3" t="n">
        <f>ROUND(I75/AVERAGE(F75,G75)*100,2)</f>
        <v>1.78</v>
      </c>
      <c r="O75" s="7" t="n">
        <f>ROUND(D75-E75-G75,2)</f>
        <v>0</v>
      </c>
      <c r="P75" s="7" t="n">
        <f>ROUND(G75-F75-I75+K75,2)</f>
        <v>0</v>
      </c>
    </row>
    <row r="76" ht="23" customHeight="1">
      <c r="A76" s="2" t="str">
        <v>子公司C</v>
      </c>
      <c r="B76" s="2" t="str">
        <v>202603</v>
      </c>
      <c r="C76" s="7" t="n">
        <v>8007.55</v>
      </c>
      <c r="D76" s="7" t="n">
        <v>8098.23</v>
      </c>
      <c r="E76" s="7" t="n">
        <v>3511.49</v>
      </c>
      <c r="F76" s="7" t="n">
        <v>4500.21</v>
      </c>
      <c r="G76" s="7" t="n">
        <v>4586.74</v>
      </c>
      <c r="H76" s="7" t="n">
        <v>4381.26</v>
      </c>
      <c r="I76" s="7" t="n">
        <v>86.53</v>
      </c>
      <c r="J76" s="7" t="n">
        <v>205.48</v>
      </c>
      <c r="K76" s="7" t="n">
        <v>0</v>
      </c>
      <c r="L76" s="3" t="n">
        <f>ROUND(E76/D76*100,2)</f>
        <v>43.36</v>
      </c>
      <c r="M76" s="3" t="n">
        <f>ROUND(J76/AVERAGE(H76,G76)*100,2)</f>
        <v>4.58</v>
      </c>
      <c r="N76" s="3" t="n">
        <f>ROUND(I76/AVERAGE(F76,G76)*100,2)</f>
        <v>1.9</v>
      </c>
      <c r="O76" s="7" t="n">
        <f>ROUND(D76-E76-G76,2)</f>
        <v>0</v>
      </c>
      <c r="P76" s="7" t="n">
        <f>ROUND(G76-F76-I76+K76,2)</f>
        <v>0</v>
      </c>
    </row>
    <row r="77" ht="23" customHeight="1">
      <c r="A77" s="2" t="str">
        <v>集团公司（合并）</v>
      </c>
      <c r="B77" s="2" t="str">
        <v>202604</v>
      </c>
      <c r="C77" s="7" t="n">
        <v>56906.96</v>
      </c>
      <c r="D77" s="7" t="n">
        <v>57325.29</v>
      </c>
      <c r="E77" s="7" t="n">
        <v>31408.34</v>
      </c>
      <c r="F77" s="7" t="n">
        <v>25542.17</v>
      </c>
      <c r="G77" s="7" t="n">
        <v>25916.95</v>
      </c>
      <c r="H77" s="7" t="n">
        <v>24509.52</v>
      </c>
      <c r="I77" s="7" t="n">
        <v>374.78</v>
      </c>
      <c r="J77" s="7" t="n">
        <v>1407.43</v>
      </c>
      <c r="K77" s="7" t="n">
        <v>0</v>
      </c>
      <c r="L77" s="3" t="n">
        <f>ROUND(E77/D77*100,2)</f>
        <v>54.79</v>
      </c>
      <c r="M77" s="3" t="n">
        <f>ROUND(J77/AVERAGE(H77,G77)*100,2)</f>
        <v>5.58</v>
      </c>
      <c r="N77" s="3" t="n">
        <f>ROUND(I77/AVERAGE(F77,G77)*100,2)</f>
        <v>1.46</v>
      </c>
      <c r="O77" s="7" t="n">
        <f>ROUND(D77-E77-G77,2)</f>
        <v>0</v>
      </c>
      <c r="P77" s="7" t="n">
        <f>ROUND(G77-F77-I77+K77,2)</f>
        <v>0</v>
      </c>
    </row>
    <row r="78" ht="23" customHeight="1">
      <c r="A78" s="2" t="str">
        <v>集团公司（本部）</v>
      </c>
      <c r="B78" s="2" t="str">
        <v>202604</v>
      </c>
      <c r="C78" s="7" t="n">
        <v>27262.42</v>
      </c>
      <c r="D78" s="7" t="n">
        <v>27442.49</v>
      </c>
      <c r="E78" s="7" t="n">
        <v>14982.24</v>
      </c>
      <c r="F78" s="7" t="n">
        <v>12322.11</v>
      </c>
      <c r="G78" s="7" t="n">
        <v>12460.25</v>
      </c>
      <c r="H78" s="7" t="n">
        <v>11907.49</v>
      </c>
      <c r="I78" s="7" t="n">
        <v>138.14</v>
      </c>
      <c r="J78" s="7" t="n">
        <v>552.76</v>
      </c>
      <c r="K78" s="7" t="n">
        <v>0</v>
      </c>
      <c r="L78" s="3" t="n">
        <f>ROUND(E78/D78*100,2)</f>
        <v>54.6</v>
      </c>
      <c r="M78" s="3" t="n">
        <f>ROUND(J78/AVERAGE(H78,G78)*100,2)</f>
        <v>4.54</v>
      </c>
      <c r="N78" s="3" t="n">
        <f>ROUND(I78/AVERAGE(F78,G78)*100,2)</f>
        <v>1.11</v>
      </c>
      <c r="O78" s="7" t="n">
        <f>ROUND(D78-E78-G78,2)</f>
        <v>0</v>
      </c>
      <c r="P78" s="7" t="n">
        <f>ROUND(G78-F78-I78+K78,2)</f>
        <v>0</v>
      </c>
    </row>
    <row r="79" ht="23" customHeight="1">
      <c r="A79" s="2" t="str">
        <v>子公司A</v>
      </c>
      <c r="B79" s="2" t="str">
        <v>202604</v>
      </c>
      <c r="C79" s="7" t="n">
        <v>14474.01</v>
      </c>
      <c r="D79" s="7" t="n">
        <v>14579.62</v>
      </c>
      <c r="E79" s="7" t="n">
        <v>8334.49</v>
      </c>
      <c r="F79" s="7" t="n">
        <v>6153.21</v>
      </c>
      <c r="G79" s="7" t="n">
        <v>6245.13</v>
      </c>
      <c r="H79" s="7" t="n">
        <v>5897.13</v>
      </c>
      <c r="I79" s="7" t="n">
        <v>91.92</v>
      </c>
      <c r="J79" s="7" t="n">
        <v>348</v>
      </c>
      <c r="K79" s="7" t="n">
        <v>0</v>
      </c>
      <c r="L79" s="3" t="n">
        <f>ROUND(E79/D79*100,2)</f>
        <v>57.17</v>
      </c>
      <c r="M79" s="3" t="n">
        <f>ROUND(J79/AVERAGE(H79,G79)*100,2)</f>
        <v>5.73</v>
      </c>
      <c r="N79" s="3" t="n">
        <f>ROUND(I79/AVERAGE(F79,G79)*100,2)</f>
        <v>1.48</v>
      </c>
      <c r="O79" s="7" t="n">
        <f>ROUND(D79-E79-G79,2)</f>
        <v>0</v>
      </c>
      <c r="P79" s="7" t="n">
        <f>ROUND(G79-F79-I79+K79,2)</f>
        <v>0</v>
      </c>
    </row>
    <row r="80" ht="23" customHeight="1">
      <c r="A80" s="2" t="str">
        <v>子公司B</v>
      </c>
      <c r="B80" s="2" t="str">
        <v>202604</v>
      </c>
      <c r="C80" s="7" t="n">
        <v>10814.55</v>
      </c>
      <c r="D80" s="7" t="n">
        <v>10909.48</v>
      </c>
      <c r="E80" s="7" t="n">
        <v>5435.53</v>
      </c>
      <c r="F80" s="7" t="n">
        <v>5383.91</v>
      </c>
      <c r="G80" s="7" t="n">
        <v>5473.95</v>
      </c>
      <c r="H80" s="7" t="n">
        <v>5153.71</v>
      </c>
      <c r="I80" s="7" t="n">
        <v>90.04</v>
      </c>
      <c r="J80" s="7" t="n">
        <v>320.24</v>
      </c>
      <c r="K80" s="7" t="n">
        <v>0</v>
      </c>
      <c r="L80" s="3" t="n">
        <f>ROUND(E80/D80*100,2)</f>
        <v>49.82</v>
      </c>
      <c r="M80" s="3" t="n">
        <f>ROUND(J80/AVERAGE(H80,G80)*100,2)</f>
        <v>6.03</v>
      </c>
      <c r="N80" s="3" t="n">
        <f>ROUND(I80/AVERAGE(F80,G80)*100,2)</f>
        <v>1.66</v>
      </c>
      <c r="O80" s="7" t="n">
        <f>ROUND(D80-E80-G80,2)</f>
        <v>0</v>
      </c>
      <c r="P80" s="7" t="n">
        <f>ROUND(G80-F80-I80+K80,2)</f>
        <v>0</v>
      </c>
    </row>
    <row r="81" ht="23" customHeight="1">
      <c r="A81" s="2" t="str">
        <v>子公司C</v>
      </c>
      <c r="B81" s="2" t="str">
        <v>202604</v>
      </c>
      <c r="C81" s="7" t="n">
        <v>8098.23</v>
      </c>
      <c r="D81" s="7" t="n">
        <v>8185.55</v>
      </c>
      <c r="E81" s="7" t="n">
        <v>3516.72</v>
      </c>
      <c r="F81" s="7" t="n">
        <v>4586.74</v>
      </c>
      <c r="G81" s="7" t="n">
        <v>4668.83</v>
      </c>
      <c r="H81" s="7" t="n">
        <v>4381.26</v>
      </c>
      <c r="I81" s="7" t="n">
        <v>82.09</v>
      </c>
      <c r="J81" s="7" t="n">
        <v>287.57</v>
      </c>
      <c r="K81" s="7" t="n">
        <v>0</v>
      </c>
      <c r="L81" s="3" t="n">
        <f>ROUND(E81/D81*100,2)</f>
        <v>42.96</v>
      </c>
      <c r="M81" s="3" t="n">
        <f>ROUND(J81/AVERAGE(H81,G81)*100,2)</f>
        <v>6.36</v>
      </c>
      <c r="N81" s="3" t="n">
        <f>ROUND(I81/AVERAGE(F81,G81)*100,2)</f>
        <v>1.77</v>
      </c>
      <c r="O81" s="7" t="n">
        <f>ROUND(D81-E81-G81,2)</f>
        <v>0</v>
      </c>
      <c r="P81" s="7" t="n">
        <f>ROUND(G81-F81-I81+K81,2)</f>
        <v>0</v>
      </c>
    </row>
    <row r="82" ht="23" customHeight="1">
      <c r="A82" s="2" t="str">
        <v>集团公司（合并）</v>
      </c>
      <c r="B82" s="2" t="str">
        <v>202605</v>
      </c>
      <c r="C82" s="7" t="n">
        <v>57325.29</v>
      </c>
      <c r="D82" s="7" t="n">
        <v>57758.56</v>
      </c>
      <c r="E82" s="7" t="n">
        <v>31441.15</v>
      </c>
      <c r="F82" s="7" t="n">
        <v>25916.95</v>
      </c>
      <c r="G82" s="7" t="n">
        <v>26317.41</v>
      </c>
      <c r="H82" s="7" t="n">
        <v>24509.52</v>
      </c>
      <c r="I82" s="7" t="n">
        <v>400.46</v>
      </c>
      <c r="J82" s="7" t="n">
        <v>1807.89</v>
      </c>
      <c r="K82" s="7" t="n">
        <v>0</v>
      </c>
      <c r="L82" s="3" t="n">
        <f>ROUND(E82/D82*100,2)</f>
        <v>54.44</v>
      </c>
      <c r="M82" s="3" t="n">
        <f>ROUND(J82/AVERAGE(H82,G82)*100,2)</f>
        <v>7.11</v>
      </c>
      <c r="N82" s="3" t="n">
        <f>ROUND(I82/AVERAGE(F82,G82)*100,2)</f>
        <v>1.53</v>
      </c>
      <c r="O82" s="7" t="n">
        <f>ROUND(D82-E82-G82,2)</f>
        <v>0</v>
      </c>
      <c r="P82" s="7" t="n">
        <f>ROUND(G82-F82-I82+K82,2)</f>
        <v>0</v>
      </c>
    </row>
    <row r="83" ht="23" customHeight="1">
      <c r="A83" s="2" t="str">
        <v>集团公司（本部）</v>
      </c>
      <c r="B83" s="2" t="str">
        <v>202605</v>
      </c>
      <c r="C83" s="7" t="n">
        <v>27442.49</v>
      </c>
      <c r="D83" s="7" t="n">
        <v>27606.5</v>
      </c>
      <c r="E83" s="7" t="n">
        <v>15006.47</v>
      </c>
      <c r="F83" s="7" t="n">
        <v>12460.25</v>
      </c>
      <c r="G83" s="7" t="n">
        <v>12600.03</v>
      </c>
      <c r="H83" s="7" t="n">
        <v>11907.49</v>
      </c>
      <c r="I83" s="7" t="n">
        <v>139.78</v>
      </c>
      <c r="J83" s="7" t="n">
        <v>692.54</v>
      </c>
      <c r="K83" s="7" t="n">
        <v>0</v>
      </c>
      <c r="L83" s="3" t="n">
        <f>ROUND(E83/D83*100,2)</f>
        <v>54.36</v>
      </c>
      <c r="M83" s="3" t="n">
        <f>ROUND(J83/AVERAGE(H83,G83)*100,2)</f>
        <v>5.65</v>
      </c>
      <c r="N83" s="3" t="n">
        <f>ROUND(I83/AVERAGE(F83,G83)*100,2)</f>
        <v>1.12</v>
      </c>
      <c r="O83" s="7" t="n">
        <f>ROUND(D83-E83-G83,2)</f>
        <v>0</v>
      </c>
      <c r="P83" s="7" t="n">
        <f>ROUND(G83-F83-I83+K83,2)</f>
        <v>0</v>
      </c>
    </row>
    <row r="84" ht="23" customHeight="1">
      <c r="A84" s="2" t="str">
        <v>子公司A</v>
      </c>
      <c r="B84" s="2" t="str">
        <v>202605</v>
      </c>
      <c r="C84" s="7" t="n">
        <v>14579.62</v>
      </c>
      <c r="D84" s="7" t="n">
        <v>14685.89</v>
      </c>
      <c r="E84" s="7" t="n">
        <v>8340.75</v>
      </c>
      <c r="F84" s="7" t="n">
        <v>6245.13</v>
      </c>
      <c r="G84" s="7" t="n">
        <v>6345.14</v>
      </c>
      <c r="H84" s="7" t="n">
        <v>5897.13</v>
      </c>
      <c r="I84" s="7" t="n">
        <v>100.01</v>
      </c>
      <c r="J84" s="7" t="n">
        <v>448.01</v>
      </c>
      <c r="K84" s="7" t="n">
        <v>0</v>
      </c>
      <c r="L84" s="3" t="n">
        <f>ROUND(E84/D84*100,2)</f>
        <v>56.79</v>
      </c>
      <c r="M84" s="3" t="n">
        <f>ROUND(J84/AVERAGE(H84,G84)*100,2)</f>
        <v>7.32</v>
      </c>
      <c r="N84" s="3" t="n">
        <f>ROUND(I84/AVERAGE(F84,G84)*100,2)</f>
        <v>1.59</v>
      </c>
      <c r="O84" s="7" t="n">
        <f>ROUND(D84-E84-G84,2)</f>
        <v>0</v>
      </c>
      <c r="P84" s="7" t="n">
        <f>ROUND(G84-F84-I84+K84,2)</f>
        <v>0</v>
      </c>
    </row>
    <row r="85" ht="23" customHeight="1">
      <c r="A85" s="2" t="str">
        <v>子公司B</v>
      </c>
      <c r="B85" s="2" t="str">
        <v>202605</v>
      </c>
      <c r="C85" s="7" t="n">
        <v>10909.48</v>
      </c>
      <c r="D85" s="7" t="n">
        <v>11016.78</v>
      </c>
      <c r="E85" s="7" t="n">
        <v>5442.67</v>
      </c>
      <c r="F85" s="7" t="n">
        <v>5473.95</v>
      </c>
      <c r="G85" s="7" t="n">
        <v>5574.11</v>
      </c>
      <c r="H85" s="7" t="n">
        <v>5153.71</v>
      </c>
      <c r="I85" s="7" t="n">
        <v>100.16</v>
      </c>
      <c r="J85" s="7" t="n">
        <v>420.4</v>
      </c>
      <c r="K85" s="7" t="n">
        <v>0</v>
      </c>
      <c r="L85" s="3" t="n">
        <f>ROUND(E85/D85*100,2)</f>
        <v>49.4</v>
      </c>
      <c r="M85" s="3" t="n">
        <f>ROUND(J85/AVERAGE(H85,G85)*100,2)</f>
        <v>7.84</v>
      </c>
      <c r="N85" s="3" t="n">
        <f>ROUND(I85/AVERAGE(F85,G85)*100,2)</f>
        <v>1.81</v>
      </c>
      <c r="O85" s="7" t="n">
        <f>ROUND(D85-E85-G85,2)</f>
        <v>0</v>
      </c>
      <c r="P85" s="7" t="n">
        <f>ROUND(G85-F85-I85+K85,2)</f>
        <v>0</v>
      </c>
    </row>
    <row r="86" ht="23" customHeight="1">
      <c r="A86" s="2" t="str">
        <v>子公司C</v>
      </c>
      <c r="B86" s="2" t="str">
        <v>202605</v>
      </c>
      <c r="C86" s="7" t="n">
        <v>8185.55</v>
      </c>
      <c r="D86" s="7" t="n">
        <v>8286.8</v>
      </c>
      <c r="E86" s="7" t="n">
        <v>3529.03</v>
      </c>
      <c r="F86" s="7" t="n">
        <v>4668.83</v>
      </c>
      <c r="G86" s="7" t="n">
        <v>4757.77</v>
      </c>
      <c r="H86" s="7" t="n">
        <v>4381.26</v>
      </c>
      <c r="I86" s="7" t="n">
        <v>88.94</v>
      </c>
      <c r="J86" s="7" t="n">
        <v>376.51</v>
      </c>
      <c r="K86" s="7" t="n">
        <v>0</v>
      </c>
      <c r="L86" s="3" t="n">
        <f>ROUND(E86/D86*100,2)</f>
        <v>42.59</v>
      </c>
      <c r="M86" s="3" t="n">
        <f>ROUND(J86/AVERAGE(H86,G86)*100,2)</f>
        <v>8.24</v>
      </c>
      <c r="N86" s="3" t="n">
        <f>ROUND(I86/AVERAGE(F86,G86)*100,2)</f>
        <v>1.89</v>
      </c>
      <c r="O86" s="7" t="n">
        <f>ROUND(D86-E86-G86,2)</f>
        <v>0</v>
      </c>
      <c r="P86" s="7" t="n">
        <f>ROUND(G86-F86-I86+K86,2)</f>
        <v>0</v>
      </c>
    </row>
    <row r="87" ht="23" customHeight="1">
      <c r="A87" s="2" t="str">
        <v>集团公司（合并）</v>
      </c>
      <c r="B87" s="2" t="str">
        <v>202606</v>
      </c>
      <c r="C87" s="7" t="n">
        <v>57758.56</v>
      </c>
      <c r="D87" s="7" t="n">
        <v>58286.8</v>
      </c>
      <c r="E87" s="7" t="n">
        <v>31490.82</v>
      </c>
      <c r="F87" s="7" t="n">
        <v>26317.41</v>
      </c>
      <c r="G87" s="7" t="n">
        <v>26795.98</v>
      </c>
      <c r="H87" s="7" t="n">
        <v>24509.52</v>
      </c>
      <c r="I87" s="7" t="n">
        <v>478.57</v>
      </c>
      <c r="J87" s="7" t="n">
        <v>2286.46</v>
      </c>
      <c r="K87" s="7" t="n">
        <v>0</v>
      </c>
      <c r="L87" s="3" t="n">
        <f>ROUND(E87/D87*100,2)</f>
        <v>54.03</v>
      </c>
      <c r="M87" s="3" t="n">
        <f>ROUND(J87/AVERAGE(H87,G87)*100,2)</f>
        <v>8.91</v>
      </c>
      <c r="N87" s="3" t="n">
        <f>ROUND(I87/AVERAGE(F87,G87)*100,2)</f>
        <v>1.8</v>
      </c>
      <c r="O87" s="7" t="n">
        <f>ROUND(D87-E87-G87,2)</f>
        <v>0</v>
      </c>
      <c r="P87" s="7" t="n">
        <f>ROUND(G87-F87-I87+K87,2)</f>
        <v>0</v>
      </c>
    </row>
    <row r="88" ht="23" customHeight="1">
      <c r="A88" s="2" t="str">
        <v>集团公司（本部）</v>
      </c>
      <c r="B88" s="2" t="str">
        <v>202606</v>
      </c>
      <c r="C88" s="7" t="n">
        <v>27606.5</v>
      </c>
      <c r="D88" s="7" t="n">
        <v>27784.31</v>
      </c>
      <c r="E88" s="7" t="n">
        <v>15018.66</v>
      </c>
      <c r="F88" s="7" t="n">
        <v>12600.03</v>
      </c>
      <c r="G88" s="7" t="n">
        <v>12765.65</v>
      </c>
      <c r="H88" s="7" t="n">
        <v>11907.49</v>
      </c>
      <c r="I88" s="7" t="n">
        <v>165.62</v>
      </c>
      <c r="J88" s="7" t="n">
        <v>858.16</v>
      </c>
      <c r="K88" s="7" t="n">
        <v>0</v>
      </c>
      <c r="L88" s="3" t="n">
        <f>ROUND(E88/D88*100,2)</f>
        <v>54.05</v>
      </c>
      <c r="M88" s="3" t="n">
        <f>ROUND(J88/AVERAGE(H88,G88)*100,2)</f>
        <v>6.96</v>
      </c>
      <c r="N88" s="3" t="n">
        <f>ROUND(I88/AVERAGE(F88,G88)*100,2)</f>
        <v>1.31</v>
      </c>
      <c r="O88" s="7" t="n">
        <f>ROUND(D88-E88-G88,2)</f>
        <v>0</v>
      </c>
      <c r="P88" s="7" t="n">
        <f>ROUND(G88-F88-I88+K88,2)</f>
        <v>0</v>
      </c>
    </row>
    <row r="89" ht="23" customHeight="1">
      <c r="A89" s="2" t="str">
        <v>子公司A</v>
      </c>
      <c r="B89" s="2" t="str">
        <v>202606</v>
      </c>
      <c r="C89" s="7" t="n">
        <v>14685.89</v>
      </c>
      <c r="D89" s="7" t="n">
        <v>14819.92</v>
      </c>
      <c r="E89" s="7" t="n">
        <v>8350.82</v>
      </c>
      <c r="F89" s="7" t="n">
        <v>6345.14</v>
      </c>
      <c r="G89" s="7" t="n">
        <v>6469.1</v>
      </c>
      <c r="H89" s="7" t="n">
        <v>5897.13</v>
      </c>
      <c r="I89" s="7" t="n">
        <v>123.96</v>
      </c>
      <c r="J89" s="7" t="n">
        <v>571.97</v>
      </c>
      <c r="K89" s="7" t="n">
        <v>0</v>
      </c>
      <c r="L89" s="3" t="n">
        <f>ROUND(E89/D89*100,2)</f>
        <v>56.35</v>
      </c>
      <c r="M89" s="3" t="n">
        <f>ROUND(J89/AVERAGE(H89,G89)*100,2)</f>
        <v>9.25</v>
      </c>
      <c r="N89" s="3" t="n">
        <f>ROUND(I89/AVERAGE(F89,G89)*100,2)</f>
        <v>1.93</v>
      </c>
      <c r="O89" s="7" t="n">
        <f>ROUND(D89-E89-G89,2)</f>
        <v>0</v>
      </c>
      <c r="P89" s="7" t="n">
        <f>ROUND(G89-F89-I89+K89,2)</f>
        <v>0</v>
      </c>
    </row>
    <row r="90" ht="23" customHeight="1">
      <c r="A90" s="2" t="str">
        <v>子公司B</v>
      </c>
      <c r="B90" s="2" t="str">
        <v>202606</v>
      </c>
      <c r="C90" s="7" t="n">
        <v>11016.78</v>
      </c>
      <c r="D90" s="7" t="n">
        <v>11156.02</v>
      </c>
      <c r="E90" s="7" t="n">
        <v>5461.05</v>
      </c>
      <c r="F90" s="7" t="n">
        <v>5574.11</v>
      </c>
      <c r="G90" s="7" t="n">
        <v>5694.97</v>
      </c>
      <c r="H90" s="7" t="n">
        <v>5153.71</v>
      </c>
      <c r="I90" s="7" t="n">
        <v>120.86</v>
      </c>
      <c r="J90" s="7" t="n">
        <v>541.26</v>
      </c>
      <c r="K90" s="7" t="n">
        <v>0</v>
      </c>
      <c r="L90" s="3" t="n">
        <f>ROUND(E90/D90*100,2)</f>
        <v>48.95</v>
      </c>
      <c r="M90" s="3" t="n">
        <f>ROUND(J90/AVERAGE(H90,G90)*100,2)</f>
        <v>9.98</v>
      </c>
      <c r="N90" s="3" t="n">
        <f>ROUND(I90/AVERAGE(F90,G90)*100,2)</f>
        <v>2.14</v>
      </c>
      <c r="O90" s="7" t="n">
        <f>ROUND(D90-E90-G90,2)</f>
        <v>0</v>
      </c>
      <c r="P90" s="7" t="n">
        <f>ROUND(G90-F90-I90+K90,2)</f>
        <v>0</v>
      </c>
    </row>
    <row r="91" ht="23" customHeight="1">
      <c r="A91" s="2" t="str">
        <v>子公司C</v>
      </c>
      <c r="B91" s="2" t="str">
        <v>202606</v>
      </c>
      <c r="C91" s="7" t="n">
        <v>8286.8</v>
      </c>
      <c r="D91" s="7" t="n">
        <v>8408.43</v>
      </c>
      <c r="E91" s="7" t="n">
        <v>3549.86</v>
      </c>
      <c r="F91" s="7" t="n">
        <v>4757.77</v>
      </c>
      <c r="G91" s="7" t="n">
        <v>4858.57</v>
      </c>
      <c r="H91" s="7" t="n">
        <v>4381.26</v>
      </c>
      <c r="I91" s="7" t="n">
        <v>100.8</v>
      </c>
      <c r="J91" s="7" t="n">
        <v>477.31</v>
      </c>
      <c r="K91" s="7" t="n">
        <v>0</v>
      </c>
      <c r="L91" s="3" t="n">
        <f>ROUND(E91/D91*100,2)</f>
        <v>42.22</v>
      </c>
      <c r="M91" s="3" t="n">
        <f>ROUND(J91/AVERAGE(H91,G91)*100,2)</f>
        <v>10.33</v>
      </c>
      <c r="N91" s="3" t="n">
        <f>ROUND(I91/AVERAGE(F91,G91)*100,2)</f>
        <v>2.1</v>
      </c>
      <c r="O91" s="7" t="n">
        <f>ROUND(D91-E91-G91,2)</f>
        <v>0</v>
      </c>
      <c r="P91" s="7" t="n">
        <f>ROUND(G91-F91-I91+K91,2)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23" hidden="0" customWidth="1"/>
    <col min="2" max="2" width="12" hidden="0" customWidth="1"/>
    <col min="3" max="3" width="20" hidden="0" customWidth="1"/>
    <col min="4" max="4" width="20" hidden="0" customWidth="1"/>
    <col min="5" max="5" width="20" hidden="0" customWidth="1"/>
    <col min="6" max="6" width="20" hidden="0" customWidth="1"/>
    <col min="7" max="7" width="20" hidden="0" customWidth="1"/>
    <col min="8" max="8" width="20" hidden="0" customWidth="1"/>
    <col min="9" max="9" width="20" hidden="0" customWidth="1"/>
    <col min="10" max="10" width="20" hidden="0" customWidth="1"/>
    <col min="11" max="11" width="20" hidden="0" customWidth="1"/>
    <col min="13" max="13" width="90" hidden="0" customWidth="1"/>
  </cols>
  <sheetData>
    <row r="1" ht="42" customHeight="1">
      <c r="A1" s="6" t="str">
        <v>期数</v>
      </c>
      <c r="B1" s="6" t="str">
        <v>营收抵销(万元)</v>
      </c>
      <c r="C1" s="6" t="str">
        <v>利润抵销(万元)</v>
      </c>
      <c r="D1" s="6" t="str">
        <v>净利润抵销(万元)</v>
      </c>
      <c r="E1" s="6" t="str">
        <v>合同抵销(万元)</v>
      </c>
      <c r="F1" s="6" t="str">
        <v>往来抵销(万元)</v>
      </c>
      <c r="G1" s="6" t="str">
        <v>投资抵销(万元)</v>
      </c>
      <c r="H1" s="6" t="str">
        <v>未实现利润余额(万元)</v>
      </c>
      <c r="I1" s="6" t="str">
        <v>权益抵销(万元)</v>
      </c>
      <c r="J1" s="6" t="str">
        <v>资产抵销(万元)</v>
      </c>
      <c r="K1" s="6" t="str">
        <v>现金流抵销(万元)</v>
      </c>
    </row>
    <row r="2" ht="23" customHeight="1">
      <c r="A2" s="2" t="str">
        <v>202501</v>
      </c>
      <c r="B2" s="7" t="n">
        <v>232.59</v>
      </c>
      <c r="C2" s="7" t="n">
        <v>27.91</v>
      </c>
      <c r="D2" s="7" t="n">
        <v>20.93</v>
      </c>
      <c r="E2" s="7" t="n">
        <v>164.56</v>
      </c>
      <c r="F2" s="7" t="n">
        <v>600</v>
      </c>
      <c r="G2" s="7" t="n">
        <v>2500</v>
      </c>
      <c r="H2" s="7" t="n">
        <v>20.93</v>
      </c>
      <c r="I2" s="7" t="n">
        <f>SUM(G2:H2)</f>
        <v>2520.93</v>
      </c>
      <c r="J2" s="7" t="n">
        <f>SUM(F2:H2)</f>
        <v>3120.93</v>
      </c>
      <c r="K2" s="7" t="n">
        <v>0</v>
      </c>
      <c r="M2" t="str">
        <v>全部数据为确定性生成的测试假数据。合并数不与本部及子公司重复加总。</v>
      </c>
    </row>
    <row r="3" ht="23" customHeight="1">
      <c r="A3" s="2" t="str">
        <v>202502</v>
      </c>
      <c r="B3" s="7" t="n">
        <v>222.3</v>
      </c>
      <c r="C3" s="7" t="n">
        <v>26.68</v>
      </c>
      <c r="D3" s="7" t="n">
        <v>20.01</v>
      </c>
      <c r="E3" s="7" t="n">
        <v>159.73</v>
      </c>
      <c r="F3" s="7" t="n">
        <v>626.55</v>
      </c>
      <c r="G3" s="7" t="n">
        <v>2500</v>
      </c>
      <c r="H3" s="7" t="n">
        <v>40.94</v>
      </c>
      <c r="I3" s="7" t="n">
        <f>SUM(G3:H3)</f>
        <v>2540.94</v>
      </c>
      <c r="J3" s="7" t="n">
        <f>SUM(F3:H3)</f>
        <v>3167.4900000000002</v>
      </c>
      <c r="K3" s="7" t="n">
        <v>0</v>
      </c>
      <c r="M3" t="str">
        <v>合并流量=四家主体流量合计-抵销；合并经营现金流为四家净额之和。</v>
      </c>
    </row>
    <row r="4" ht="23" customHeight="1">
      <c r="A4" s="2" t="str">
        <v>202503</v>
      </c>
      <c r="B4" s="7" t="n">
        <v>310.21</v>
      </c>
      <c r="C4" s="7" t="n">
        <v>37.23</v>
      </c>
      <c r="D4" s="7" t="n">
        <v>27.92</v>
      </c>
      <c r="E4" s="7" t="n">
        <v>260.02</v>
      </c>
      <c r="F4" s="7" t="n">
        <v>650.51</v>
      </c>
      <c r="G4" s="7" t="n">
        <v>2500</v>
      </c>
      <c r="H4" s="7" t="n">
        <v>68.86</v>
      </c>
      <c r="I4" s="7" t="n">
        <f>SUM(G4:H4)</f>
        <v>2568.86</v>
      </c>
      <c r="J4" s="7" t="n">
        <f>SUM(F4:H4)</f>
        <v>3219.3700000000003</v>
      </c>
      <c r="K4" s="7" t="n">
        <v>0</v>
      </c>
      <c r="M4" t="str">
        <v>资产负债率=期末负债/期末资产；净资产收益率=净利润/期初期末平均净资产。</v>
      </c>
    </row>
    <row r="5" ht="23" customHeight="1">
      <c r="A5" s="2" t="str">
        <v>202504</v>
      </c>
      <c r="B5" s="7" t="n">
        <v>282.22</v>
      </c>
      <c r="C5" s="7" t="n">
        <v>33.87</v>
      </c>
      <c r="D5" s="7" t="n">
        <v>25.4</v>
      </c>
      <c r="E5" s="7" t="n">
        <v>184.33</v>
      </c>
      <c r="F5" s="7" t="n">
        <v>669.94</v>
      </c>
      <c r="G5" s="7" t="n">
        <v>2500</v>
      </c>
      <c r="H5" s="7" t="n">
        <v>94.26</v>
      </c>
      <c r="I5" s="7" t="n">
        <f>SUM(G5:H5)</f>
        <v>2594.26</v>
      </c>
      <c r="J5" s="7" t="n">
        <f>SUM(F5:H5)</f>
        <v>3264.2000000000003</v>
      </c>
      <c r="K5" s="7" t="n">
        <v>0</v>
      </c>
    </row>
    <row r="6" ht="23" customHeight="1">
      <c r="A6" s="2" t="str">
        <v>202505</v>
      </c>
      <c r="B6" s="7" t="n">
        <v>298.42</v>
      </c>
      <c r="C6" s="7" t="n">
        <v>35.81</v>
      </c>
      <c r="D6" s="7" t="n">
        <v>26.86</v>
      </c>
      <c r="E6" s="7" t="n">
        <v>184.24</v>
      </c>
      <c r="F6" s="7" t="n">
        <v>684</v>
      </c>
      <c r="G6" s="7" t="n">
        <v>2500</v>
      </c>
      <c r="H6" s="7" t="n">
        <v>121.12</v>
      </c>
      <c r="I6" s="7" t="n">
        <f>SUM(G6:H6)</f>
        <v>2621.12</v>
      </c>
      <c r="J6" s="7" t="n">
        <f>SUM(F6:H6)</f>
        <v>3305.12</v>
      </c>
      <c r="K6" s="7" t="n">
        <v>0</v>
      </c>
    </row>
    <row r="7" ht="23" customHeight="1">
      <c r="A7" s="2" t="str">
        <v>202506</v>
      </c>
      <c r="B7" s="7" t="n">
        <v>343.6</v>
      </c>
      <c r="C7" s="7" t="n">
        <v>41.23</v>
      </c>
      <c r="D7" s="7" t="n">
        <v>30.92</v>
      </c>
      <c r="E7" s="7" t="n">
        <v>251.93</v>
      </c>
      <c r="F7" s="7" t="n">
        <v>693.17</v>
      </c>
      <c r="G7" s="7" t="n">
        <v>2500</v>
      </c>
      <c r="H7" s="7" t="n">
        <v>152.04</v>
      </c>
      <c r="I7" s="7" t="n">
        <f>SUM(G7:H7)</f>
        <v>2652.04</v>
      </c>
      <c r="J7" s="7" t="n">
        <f>SUM(F7:H7)</f>
        <v>3345.21</v>
      </c>
      <c r="K7" s="7" t="n">
        <v>0</v>
      </c>
    </row>
    <row r="8" ht="23" customHeight="1">
      <c r="A8" s="2" t="str">
        <v>202507</v>
      </c>
      <c r="B8" s="7" t="n">
        <v>286.78</v>
      </c>
      <c r="C8" s="7" t="n">
        <v>34.41</v>
      </c>
      <c r="D8" s="7" t="n">
        <v>25.81</v>
      </c>
      <c r="E8" s="7" t="n">
        <v>181.47</v>
      </c>
      <c r="F8" s="7" t="n">
        <v>699.1</v>
      </c>
      <c r="G8" s="7" t="n">
        <v>2500</v>
      </c>
      <c r="H8" s="7" t="n">
        <v>177.85</v>
      </c>
      <c r="I8" s="7" t="n">
        <f>SUM(G8:H8)</f>
        <v>2677.85</v>
      </c>
      <c r="J8" s="7" t="n">
        <f>SUM(F8:H8)</f>
        <v>3376.95</v>
      </c>
      <c r="K8" s="7" t="n">
        <v>0</v>
      </c>
    </row>
    <row r="9" ht="23" customHeight="1">
      <c r="A9" s="2" t="str">
        <v>202508</v>
      </c>
      <c r="B9" s="7" t="n">
        <v>291.66</v>
      </c>
      <c r="C9" s="7" t="n">
        <v>35</v>
      </c>
      <c r="D9" s="7" t="n">
        <v>26.25</v>
      </c>
      <c r="E9" s="7" t="n">
        <v>197.2</v>
      </c>
      <c r="F9" s="7" t="n">
        <v>704.28</v>
      </c>
      <c r="G9" s="7" t="n">
        <v>2500</v>
      </c>
      <c r="H9" s="7" t="n">
        <v>204.1</v>
      </c>
      <c r="I9" s="7" t="n">
        <f>SUM(G9:H9)</f>
        <v>2704.1</v>
      </c>
      <c r="J9" s="7" t="n">
        <f>SUM(F9:H9)</f>
        <v>3408.3799999999997</v>
      </c>
      <c r="K9" s="7" t="n">
        <v>0</v>
      </c>
    </row>
    <row r="10" ht="23" customHeight="1">
      <c r="A10" s="2" t="str">
        <v>202509</v>
      </c>
      <c r="B10" s="7" t="n">
        <v>342.29</v>
      </c>
      <c r="C10" s="7" t="n">
        <v>41.07</v>
      </c>
      <c r="D10" s="7" t="n">
        <v>30.8</v>
      </c>
      <c r="E10" s="7" t="n">
        <v>293</v>
      </c>
      <c r="F10" s="7" t="n">
        <v>711.35</v>
      </c>
      <c r="G10" s="7" t="n">
        <v>2500</v>
      </c>
      <c r="H10" s="7" t="n">
        <v>234.9</v>
      </c>
      <c r="I10" s="7" t="n">
        <f>SUM(G10:H10)</f>
        <v>2734.9</v>
      </c>
      <c r="J10" s="7" t="n">
        <f>SUM(F10:H10)</f>
        <v>3446.25</v>
      </c>
      <c r="K10" s="7" t="n">
        <v>0</v>
      </c>
    </row>
    <row r="11" ht="23" customHeight="1">
      <c r="A11" s="2" t="str">
        <v>202510</v>
      </c>
      <c r="B11" s="7" t="n">
        <v>314.68</v>
      </c>
      <c r="C11" s="7" t="n">
        <v>37.76</v>
      </c>
      <c r="D11" s="7" t="n">
        <v>28.32</v>
      </c>
      <c r="E11" s="7" t="n">
        <v>225.52</v>
      </c>
      <c r="F11" s="7" t="n">
        <v>722.49</v>
      </c>
      <c r="G11" s="7" t="n">
        <v>2500</v>
      </c>
      <c r="H11" s="7" t="n">
        <v>263.22</v>
      </c>
      <c r="I11" s="7" t="n">
        <f>SUM(G11:H11)</f>
        <v>2763.2200000000003</v>
      </c>
      <c r="J11" s="7" t="n">
        <f>SUM(F11:H11)</f>
        <v>3485.71</v>
      </c>
      <c r="K11" s="7" t="n">
        <v>0</v>
      </c>
    </row>
    <row r="12" ht="23" customHeight="1">
      <c r="A12" s="2" t="str">
        <v>202511</v>
      </c>
      <c r="B12" s="7" t="n">
        <v>340.5</v>
      </c>
      <c r="C12" s="7" t="n">
        <v>40.86</v>
      </c>
      <c r="D12" s="7" t="n">
        <v>30.65</v>
      </c>
      <c r="E12" s="7" t="n">
        <v>235.35</v>
      </c>
      <c r="F12" s="7" t="n">
        <v>738.9</v>
      </c>
      <c r="G12" s="7" t="n">
        <v>2500</v>
      </c>
      <c r="H12" s="7" t="n">
        <v>293.87</v>
      </c>
      <c r="I12" s="7" t="n">
        <f>SUM(G12:H12)</f>
        <v>2793.87</v>
      </c>
      <c r="J12" s="7" t="n">
        <f>SUM(F12:H12)</f>
        <v>3532.77</v>
      </c>
      <c r="K12" s="7" t="n">
        <v>0</v>
      </c>
    </row>
    <row r="13" ht="23" customHeight="1">
      <c r="A13" s="2" t="str">
        <v>202512</v>
      </c>
      <c r="B13" s="7" t="n">
        <v>402.13</v>
      </c>
      <c r="C13" s="7" t="n">
        <v>48.26</v>
      </c>
      <c r="D13" s="7" t="n">
        <v>36.2</v>
      </c>
      <c r="E13" s="7" t="n">
        <v>313.8</v>
      </c>
      <c r="F13" s="7" t="n">
        <v>760.48</v>
      </c>
      <c r="G13" s="7" t="n">
        <v>2500</v>
      </c>
      <c r="H13" s="7" t="n">
        <v>330.07</v>
      </c>
      <c r="I13" s="7" t="n">
        <f>SUM(G13:H13)</f>
        <v>2830.07</v>
      </c>
      <c r="J13" s="7" t="n">
        <f>SUM(F13:H13)</f>
        <v>3590.55</v>
      </c>
      <c r="K13" s="7" t="n">
        <v>0</v>
      </c>
    </row>
    <row r="14" ht="23" customHeight="1">
      <c r="A14" s="2" t="str">
        <v>202601</v>
      </c>
      <c r="B14" s="7" t="n">
        <v>245.56</v>
      </c>
      <c r="C14" s="7" t="n">
        <v>29.47</v>
      </c>
      <c r="D14" s="7" t="n">
        <v>22.1</v>
      </c>
      <c r="E14" s="7" t="n">
        <v>150.91</v>
      </c>
      <c r="F14" s="7" t="n">
        <v>785.85</v>
      </c>
      <c r="G14" s="7" t="n">
        <v>2500</v>
      </c>
      <c r="H14" s="7" t="n">
        <v>352.17</v>
      </c>
      <c r="I14" s="7" t="n">
        <f>SUM(G14:H14)</f>
        <v>2852.17</v>
      </c>
      <c r="J14" s="7" t="n">
        <f>SUM(F14:H14)</f>
        <v>3638.02</v>
      </c>
      <c r="K14" s="7" t="n">
        <v>0</v>
      </c>
    </row>
    <row r="15" ht="23" customHeight="1">
      <c r="A15" s="2" t="str">
        <v>202602</v>
      </c>
      <c r="B15" s="7" t="n">
        <v>237.12</v>
      </c>
      <c r="C15" s="7" t="n">
        <v>28.45</v>
      </c>
      <c r="D15" s="7" t="n">
        <v>21.34</v>
      </c>
      <c r="E15" s="7" t="n">
        <v>145</v>
      </c>
      <c r="F15" s="7" t="n">
        <v>812.73</v>
      </c>
      <c r="G15" s="7" t="n">
        <v>2500</v>
      </c>
      <c r="H15" s="7" t="n">
        <v>373.51</v>
      </c>
      <c r="I15" s="7" t="n">
        <f>SUM(G15:H15)</f>
        <v>2873.51</v>
      </c>
      <c r="J15" s="7" t="n">
        <f>SUM(F15:H15)</f>
        <v>3686.24</v>
      </c>
      <c r="K15" s="7" t="n">
        <v>0</v>
      </c>
    </row>
    <row r="16" ht="23" customHeight="1">
      <c r="A16" s="2" t="str">
        <v>202603</v>
      </c>
      <c r="B16" s="7" t="n">
        <v>336.53</v>
      </c>
      <c r="C16" s="7" t="n">
        <v>40.38</v>
      </c>
      <c r="D16" s="7" t="n">
        <v>30.29</v>
      </c>
      <c r="E16" s="7" t="n">
        <v>258.89</v>
      </c>
      <c r="F16" s="7" t="n">
        <v>838.45</v>
      </c>
      <c r="G16" s="7" t="n">
        <v>2500</v>
      </c>
      <c r="H16" s="7" t="n">
        <v>403.8</v>
      </c>
      <c r="I16" s="7" t="n">
        <f>SUM(G16:H16)</f>
        <v>2903.8</v>
      </c>
      <c r="J16" s="7" t="n">
        <f>SUM(F16:H16)</f>
        <v>3742.25</v>
      </c>
      <c r="K16" s="7" t="n">
        <v>0</v>
      </c>
    </row>
    <row r="17" ht="23" customHeight="1">
      <c r="A17" s="2" t="str">
        <v>202604</v>
      </c>
      <c r="B17" s="7" t="n">
        <v>304.62</v>
      </c>
      <c r="C17" s="7" t="n">
        <v>36.55</v>
      </c>
      <c r="D17" s="7" t="n">
        <v>27.41</v>
      </c>
      <c r="E17" s="7" t="n">
        <v>207.6</v>
      </c>
      <c r="F17" s="7" t="n">
        <v>860.64</v>
      </c>
      <c r="G17" s="7" t="n">
        <v>2500</v>
      </c>
      <c r="H17" s="7" t="n">
        <v>431.21</v>
      </c>
      <c r="I17" s="7" t="n">
        <f>SUM(G17:H17)</f>
        <v>2931.21</v>
      </c>
      <c r="J17" s="7" t="n">
        <f>SUM(F17:H17)</f>
        <v>3791.85</v>
      </c>
      <c r="K17" s="7" t="n">
        <v>0</v>
      </c>
    </row>
    <row r="18" ht="23" customHeight="1">
      <c r="A18" s="2" t="str">
        <v>202605</v>
      </c>
      <c r="B18" s="7" t="n">
        <v>315.92</v>
      </c>
      <c r="C18" s="7" t="n">
        <v>37.91</v>
      </c>
      <c r="D18" s="7" t="n">
        <v>28.43</v>
      </c>
      <c r="E18" s="7" t="n">
        <v>225.4</v>
      </c>
      <c r="F18" s="7" t="n">
        <v>877.77</v>
      </c>
      <c r="G18" s="7" t="n">
        <v>2500</v>
      </c>
      <c r="H18" s="7" t="n">
        <v>459.64</v>
      </c>
      <c r="I18" s="7" t="n">
        <f>SUM(G18:H18)</f>
        <v>2959.64</v>
      </c>
      <c r="J18" s="7" t="n">
        <f>SUM(F18:H18)</f>
        <v>3837.41</v>
      </c>
      <c r="K18" s="7" t="n">
        <v>0</v>
      </c>
    </row>
    <row r="19" ht="23" customHeight="1">
      <c r="A19" s="2" t="str">
        <v>202606</v>
      </c>
      <c r="B19" s="7" t="n">
        <v>363.01</v>
      </c>
      <c r="C19" s="7" t="n">
        <v>43.56</v>
      </c>
      <c r="D19" s="7" t="n">
        <v>32.67</v>
      </c>
      <c r="E19" s="7" t="n">
        <v>312.01</v>
      </c>
      <c r="F19" s="7" t="n">
        <v>889.57</v>
      </c>
      <c r="G19" s="7" t="n">
        <v>2500</v>
      </c>
      <c r="H19" s="7" t="n">
        <v>492.31</v>
      </c>
      <c r="I19" s="7" t="n">
        <f>SUM(G19:H19)</f>
        <v>2992.31</v>
      </c>
      <c r="J19" s="7" t="n">
        <f>SUM(F19:H19)</f>
        <v>3881.88</v>
      </c>
      <c r="K19" s="7" t="n">
        <v>0</v>
      </c>
    </row>
  </sheetData>
  <pageMargins left="0.7" right="0.7" top="0.75" bottom="0.75" header="0.3" footer="0.3"/>
</worksheet>
</file>